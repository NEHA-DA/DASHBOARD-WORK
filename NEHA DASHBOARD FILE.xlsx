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4\Desktop\"/>
    </mc:Choice>
  </mc:AlternateContent>
  <xr:revisionPtr revIDLastSave="0" documentId="8_{0159AA1F-998A-47BD-ADE8-2DB9DC65B8EE}" xr6:coauthVersionLast="47" xr6:coauthVersionMax="47" xr10:uidLastSave="{00000000-0000-0000-0000-000000000000}"/>
  <bookViews>
    <workbookView xWindow="-120" yWindow="-120" windowWidth="20730" windowHeight="11040" firstSheet="1" activeTab="3" xr2:uid="{2CCA7C14-3C71-4F9A-A6A5-FEBB9C29C67C}"/>
  </bookViews>
  <sheets>
    <sheet name="Pivot Tables" sheetId="17" r:id="rId1"/>
    <sheet name="Dashboard" sheetId="18" r:id="rId2"/>
    <sheet name="Sheet2" sheetId="20" r:id="rId3"/>
    <sheet name="Sheet3" sheetId="21" r:id="rId4"/>
    <sheet name="Sales Data" sheetId="3" r:id="rId5"/>
    <sheet name="Sheet1" sheetId="19" r:id="rId6"/>
  </sheets>
  <definedNames>
    <definedName name="_xlcn.WorksheetConnection_Book1sales_data_large1" hidden="1">sales_data_large[]</definedName>
    <definedName name="ExternalData_1" localSheetId="4" hidden="1">'Sales Data'!$B$1:$J$301</definedName>
    <definedName name="Slicer_Region">#N/A</definedName>
  </definedNames>
  <calcPr calcId="191029"/>
  <pivotCaches>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6" i="17" l="1"/>
  <c r="L5" i="17"/>
  <c r="L4"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<sst xmlns="http://schemas.openxmlformats.org/spreadsheetml/2006/main" count="2542" uniqueCount="54">
  <si>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</si>
  <si>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</si>
  <si>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</si>
  <si>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</si>
  <si>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</si>
  <si>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</si>
  <si>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</si>
  <si>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</si>
  <si>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</si>
  <si>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</si>
  <si>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</si>
  <si>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</si>
  <si>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</si>
  <si>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</si>
  <si>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</si>
  <si>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</si>
  <si>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</si>
  <si>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</si>
  <si>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</si>
  <si>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</si>
  <si>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</si>
  <si>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</si>
  <si>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</si>
  <si>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</si>
  <si>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</si>
  <si>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</si>
  <si>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</si>
  <si>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</si>
  <si>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</si>
  <si>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</si>
  <si>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</si>
  <si>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</si>
  <si>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</si>
  <si>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</si>
  <si>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</si>
  <si>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</si>
  <si>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</si>
  <si>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</si>
  <si>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</si>
  <si>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Jul</t>
  </si>
  <si>
    <t>Aug</t>
  </si>
  <si>
    <t>Sep</t>
  </si>
  <si>
    <t>Oct</t>
  </si>
  <si>
    <t>Total Profit</t>
  </si>
  <si>
    <t>Total Sales</t>
  </si>
  <si>
    <t>Sum of Quantity</t>
  </si>
  <si>
    <t>Sum of Profit</t>
  </si>
  <si>
    <t>Unit Price</t>
  </si>
  <si>
    <t>Sum of Total Sales</t>
  </si>
  <si>
    <t>Customer ID</t>
  </si>
  <si>
    <t>Customer Name</t>
  </si>
  <si>
    <t>Row Labels</t>
  </si>
  <si>
    <t>Total QTY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</si>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</sst>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1"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xf numFmtId="0" fontId="0" fillId="4" borderId="0" xfId="0" applyFill="1"/>
  </cellXfs>
  <cellStyles count="1">
    <cellStyle name="Normal" xfId="0" builtinId="0"/>
  </cellStyles>
  <dxfs count="9">
    <dxf>
      <numFmt numFmtId="19" formatCode="dd/mm/yyyy"/>
    </dxf>
    <dxf>
      <numFmt numFmtId="0" formatCode="General"/>
    </dxf>
    <dxf>
      <numFmt numFmtId="0" formatCode="General"/>
    </dxf>
    <dxf>
      <numFmt numFmtId="0" formatCode="General"/>
    </dxf>
    <dxf>
      <numFmt numFmtId="0" formatCode="General"/>
    </dxf>
    <dxf>
      <numFmt numFmtId="0" formatCode="General"/>
    </dxf>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1" xr9:uid="{4535A9A9-5659-4BED-AC00-423A1C571928}"/>
    <tableStyle name="Slicer Style 2" pivot="0" table="0" count="1" xr9:uid="{9355A743-1FE8-43D0-BFA2-40CFBC7B8EC9}">
      <tableStyleElement type="wholeTable" dxfId="8"/>
    </tableStyle>
    <tableStyle name="Slicer Style 3" pivot="0" table="0" count="4" xr9:uid="{4442DC63-9A52-4A9D-A610-A539306C2E69}">
      <tableStyleElement type="wholeTable" dxfId="7"/>
      <tableStyleElement type="headerRow" dxfId="6"/>
    </tableStyle>
  </tableStyles>
  <extLst>
    <ext xmlns:x14="http://schemas.microsoft.com/office/spreadsheetml/2009/9/main" uri="{46F421CA-312F-682f-3DD2-61675219B42D}">
      <x14:dxfs count="3">
        <dxf>
          <fill>
            <patternFill>
              <bgColor theme="0" tint="-4.9989318521683403E-2"/>
            </patternFill>
          </fill>
        </dxf>
        <dxf>
          <font>
            <color theme="0"/>
          </font>
          <fill>
            <patternFill>
              <bgColor theme="1" tint="0.14996795556505021"/>
            </patternFill>
          </fill>
        </dxf>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2"/>
          </x14:slicerStyleElements>
        </x14:slicerStyle>
        <x14:slicerStyle name="Slicer Style 2"/>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DASHBOARD FILE.xlsx]Pivot Tables!PivotTable1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24978466838933"/>
              <c:y val="9.8765454689346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92937123169682"/>
              <c:y val="6.9716791545420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687338501291993E-2"/>
              <c:y val="-3.4858395772710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25753660637383"/>
              <c:y val="-0.15105304834841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92937123169682"/>
              <c:y val="6.9716791545420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687338501291993E-2"/>
              <c:y val="-3.4858395772710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25753660637383"/>
              <c:y val="-0.15105304834841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24978466838933"/>
              <c:y val="9.8765454689346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95901453181222E-2"/>
              <c:y val="5.1939089435139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746854327146848E-2"/>
              <c:y val="0.156252613734868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437551794885039"/>
              <c:y val="-0.119941865287186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666628180519276E-2"/>
              <c:y val="-3.456866681761481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6B-4C91-A2FA-B42294EFFF3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6B-4C91-A2FA-B42294EFFF3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6B-4C91-A2FA-B42294EFFF3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D6B-4C91-A2FA-B42294EFFF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Tables'!$A$4:$A$8</c:f>
              <c:strCache>
                <c:ptCount val="4"/>
                <c:pt idx="0">
                  <c:v>Accessories</c:v>
                </c:pt>
                <c:pt idx="1">
                  <c:v>Clothing</c:v>
                </c:pt>
                <c:pt idx="2">
                  <c:v>Electronics</c:v>
                </c:pt>
                <c:pt idx="3">
                  <c:v>Home Appliances</c:v>
                </c:pt>
              </c:strCache>
            </c:strRef>
          </c:cat>
          <c:val>
            <c:numRef>
              <c:f>'Pivot Tables'!$B$4:$B$8</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CD6B-4C91-A2FA-B42294EFFF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DASHBOARD FILE.xlsx]Pivot Tables!PivotTable2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954586450710706"/>
              <c:y val="-5.27463320646586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35561433981627"/>
              <c:y val="0.109330023981923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035134658233675"/>
              <c:y val="5.75421178852229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833764139426257"/>
              <c:y val="-0.12659265934749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AED-4C43-84EB-AA3101862C6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AED-4C43-84EB-AA3101862C6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AED-4C43-84EB-AA3101862C6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AED-4C43-84EB-AA3101862C6D}"/>
              </c:ext>
            </c:extLst>
          </c:dPt>
          <c:dLbls>
            <c:dLbl>
              <c:idx val="0"/>
              <c:layout>
                <c:manualLayout>
                  <c:x val="0.18954586450710706"/>
                  <c:y val="-5.274633206465868E-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ED-4C43-84EB-AA3101862C6D}"/>
                </c:ext>
              </c:extLst>
            </c:dLbl>
            <c:dLbl>
              <c:idx val="1"/>
              <c:layout>
                <c:manualLayout>
                  <c:x val="0.1535561433981627"/>
                  <c:y val="0.1093300239819235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ED-4C43-84EB-AA3101862C6D}"/>
                </c:ext>
              </c:extLst>
            </c:dLbl>
            <c:dLbl>
              <c:idx val="2"/>
              <c:layout>
                <c:manualLayout>
                  <c:x val="-0.17035134658233675"/>
                  <c:y val="5.7542117885222956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ED-4C43-84EB-AA3101862C6D}"/>
                </c:ext>
              </c:extLst>
            </c:dLbl>
            <c:dLbl>
              <c:idx val="3"/>
              <c:layout>
                <c:manualLayout>
                  <c:x val="-0.21833764139426257"/>
                  <c:y val="-0.126592659347490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ED-4C43-84EB-AA3101862C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Tables'!$D$4:$D$8</c:f>
              <c:strCache>
                <c:ptCount val="4"/>
                <c:pt idx="0">
                  <c:v>East</c:v>
                </c:pt>
                <c:pt idx="1">
                  <c:v>North</c:v>
                </c:pt>
                <c:pt idx="2">
                  <c:v>South</c:v>
                </c:pt>
                <c:pt idx="3">
                  <c:v>West</c:v>
                </c:pt>
              </c:strCache>
            </c:strRef>
          </c:cat>
          <c:val>
            <c:numRef>
              <c:f>'Pivot Tables'!$E$4:$E$8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1AED-4C43-84EB-AA3101862C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DASHBOARD FILE.xlsx]Pivot Tables!PivotTable3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Tables'!$A$12:$A$20</c:f>
              <c:strCache>
                <c:ptCount val="8"/>
                <c:pt idx="0">
                  <c:v>Camera</c:v>
                </c:pt>
                <c:pt idx="1">
                  <c:v>Fridge</c:v>
                </c:pt>
                <c:pt idx="2">
                  <c:v>Headphones</c:v>
                </c:pt>
                <c:pt idx="3">
                  <c:v>Jeans</c:v>
                </c:pt>
                <c:pt idx="4">
                  <c:v>Laptop</c:v>
                </c:pt>
                <c:pt idx="5">
                  <c:v>Microwave</c:v>
                </c:pt>
                <c:pt idx="6">
                  <c:v>Mobile</c:v>
                </c:pt>
                <c:pt idx="7">
                  <c:v>Shirt</c:v>
                </c:pt>
              </c:strCache>
            </c:strRef>
          </c:cat>
          <c:val>
            <c:numRef>
              <c:f>'Pivot Tables'!$B$12:$B$20</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1-5BC4-4CC1-A124-A3B2BAA3683E}"/>
            </c:ext>
          </c:extLst>
        </c:ser>
        <c:dLbls>
          <c:showLegendKey val="0"/>
          <c:showVal val="0"/>
          <c:showCatName val="0"/>
          <c:showSerName val="0"/>
          <c:showPercent val="0"/>
          <c:showBubbleSize val="0"/>
        </c:dLbls>
        <c:gapWidth val="115"/>
        <c:overlap val="-20"/>
        <c:axId val="467031456"/>
        <c:axId val="467031872"/>
      </c:barChart>
      <c:catAx>
        <c:axId val="4670314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7031872"/>
        <c:crosses val="autoZero"/>
        <c:auto val="1"/>
        <c:lblAlgn val="ctr"/>
        <c:lblOffset val="100"/>
        <c:noMultiLvlLbl val="0"/>
      </c:catAx>
      <c:valAx>
        <c:axId val="4670318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703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DASHBOARD FILE.xlsx]Pivot Tables!PivotTable4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Tables'!$D$12:$D$22</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Tables'!$E$12:$E$22</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1C0B-4B67-999A-C28E1ED9CD31}"/>
            </c:ext>
          </c:extLst>
        </c:ser>
        <c:dLbls>
          <c:showLegendKey val="0"/>
          <c:showVal val="0"/>
          <c:showCatName val="0"/>
          <c:showSerName val="0"/>
          <c:showPercent val="0"/>
          <c:showBubbleSize val="0"/>
        </c:dLbls>
        <c:marker val="1"/>
        <c:smooth val="0"/>
        <c:axId val="471408656"/>
        <c:axId val="471411984"/>
      </c:lineChart>
      <c:catAx>
        <c:axId val="4714086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1411984"/>
        <c:crosses val="autoZero"/>
        <c:auto val="1"/>
        <c:lblAlgn val="ctr"/>
        <c:lblOffset val="100"/>
        <c:noMultiLvlLbl val="0"/>
      </c:catAx>
      <c:valAx>
        <c:axId val="4714119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1408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[NEHA DASHBOARD FILE.xlsx]Sheet2!PivotTable2</c:name>
    <c:fmtId val="2"/>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hade val="58000"/>
            </a:schemeClr>
          </a:solidFill>
          <a:ln>
            <a:noFill/>
          </a:ln>
          <a:effectLst>
            <a:outerShdw blurRad="317500" algn="ctr" rotWithShape="0">
              <a:prstClr val="black">
                <a:alpha val="25000"/>
              </a:prstClr>
            </a:outerShdw>
          </a:effectLst>
        </c:spPr>
      </c:pivotFmt>
      <c:pivotFmt>
        <c:idx val="3"/>
        <c:spPr>
          <a:solidFill>
            <a:schemeClr val="accent1">
              <a:shade val="86000"/>
            </a:schemeClr>
          </a:solidFill>
          <a:ln>
            <a:noFill/>
          </a:ln>
          <a:effectLst>
            <a:outerShdw blurRad="317500" algn="ctr" rotWithShape="0">
              <a:prstClr val="black">
                <a:alpha val="25000"/>
              </a:prstClr>
            </a:outerShdw>
          </a:effectLst>
        </c:spPr>
      </c:pivotFmt>
      <c:pivotFmt>
        <c:idx val="4"/>
        <c:spPr>
          <a:solidFill>
            <a:schemeClr val="accent1">
              <a:tint val="86000"/>
            </a:schemeClr>
          </a:solidFill>
          <a:ln>
            <a:noFill/>
          </a:ln>
          <a:effectLst>
            <a:outerShdw blurRad="317500" algn="ctr" rotWithShape="0">
              <a:prstClr val="black">
                <a:alpha val="25000"/>
              </a:prstClr>
            </a:outerShdw>
          </a:effectLst>
        </c:spPr>
      </c:pivotFmt>
      <c:pivotFmt>
        <c:idx val="5"/>
        <c:spPr>
          <a:solidFill>
            <a:schemeClr val="accent1">
              <a:tint val="58000"/>
            </a:schemeClr>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outerShdw blurRad="317500" algn="ctr" rotWithShape="0">
              <a:prstClr val="black">
                <a:alpha val="25000"/>
              </a:prstClr>
            </a:outerShdw>
          </a:effectLst>
        </c:spPr>
      </c:pivotFmt>
      <c:pivotFmt>
        <c:idx val="8"/>
        <c:spPr>
          <a:solidFill>
            <a:schemeClr val="accent1">
              <a:shade val="86000"/>
            </a:schemeClr>
          </a:solidFill>
          <a:ln>
            <a:noFill/>
          </a:ln>
          <a:effectLst>
            <a:outerShdw blurRad="317500" algn="ctr" rotWithShape="0">
              <a:prstClr val="black">
                <a:alpha val="25000"/>
              </a:prstClr>
            </a:outerShdw>
          </a:effectLst>
        </c:spPr>
      </c:pivotFmt>
      <c:pivotFmt>
        <c:idx val="9"/>
        <c:spPr>
          <a:solidFill>
            <a:schemeClr val="accent1">
              <a:tint val="86000"/>
            </a:schemeClr>
          </a:solidFill>
          <a:ln>
            <a:noFill/>
          </a:ln>
          <a:effectLst>
            <a:outerShdw blurRad="317500" algn="ctr" rotWithShape="0">
              <a:prstClr val="black">
                <a:alpha val="25000"/>
              </a:prstClr>
            </a:outerShdw>
          </a:effectLst>
        </c:spPr>
      </c:pivotFmt>
      <c:pivotFmt>
        <c:idx val="10"/>
        <c:spPr>
          <a:solidFill>
            <a:schemeClr val="accent1">
              <a:tint val="58000"/>
            </a:schemeClr>
          </a:solidFill>
          <a:ln>
            <a:noFill/>
          </a:ln>
          <a:effectLst>
            <a:outerShdw blurRad="317500" algn="ctr" rotWithShape="0">
              <a:prstClr val="black">
                <a:alpha val="25000"/>
              </a:prstClr>
            </a:outerShdw>
          </a:effectLst>
        </c:spPr>
      </c:pivotFmt>
    </c:pivotFmts>
    <c:plotArea>
      <c:layout/>
      <c:pieChart>
        <c:varyColors val="1"/>
        <c:ser>
          <c:idx val="0"/>
          <c:order val="0"/>
          <c:tx>
            <c:strRef>
              <c:f>Sheet2!$H$3</c:f>
              <c:strCache>
                <c:ptCount val="1"/>
                <c:pt idx="0">
                  <c:v>Total</c:v>
                </c:pt>
              </c:strCache>
            </c:strRef>
          </c:tx>
          <c:dPt>
            <c:idx val="0"/>
            <c:bubble3D val="0"/>
            <c:spPr>
              <a:solidFill>
                <a:schemeClr val="accent1">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A58-4A7C-B9F5-E4350B36A731}"/>
              </c:ext>
            </c:extLst>
          </c:dPt>
          <c:dPt>
            <c:idx val="1"/>
            <c:bubble3D val="0"/>
            <c:spPr>
              <a:solidFill>
                <a:schemeClr val="accent1">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A58-4A7C-B9F5-E4350B36A731}"/>
              </c:ext>
            </c:extLst>
          </c:dPt>
          <c:dPt>
            <c:idx val="2"/>
            <c:bubble3D val="0"/>
            <c:spPr>
              <a:solidFill>
                <a:schemeClr val="accent1">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A58-4A7C-B9F5-E4350B36A731}"/>
              </c:ext>
            </c:extLst>
          </c:dPt>
          <c:dPt>
            <c:idx val="3"/>
            <c:bubble3D val="0"/>
            <c:spPr>
              <a:solidFill>
                <a:schemeClr val="accent1">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A58-4A7C-B9F5-E4350B36A7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Sheet2!$G$4:$G$8</c:f>
              <c:strCache>
                <c:ptCount val="4"/>
                <c:pt idx="0">
                  <c:v>East</c:v>
                </c:pt>
                <c:pt idx="1">
                  <c:v>North</c:v>
                </c:pt>
                <c:pt idx="2">
                  <c:v>South</c:v>
                </c:pt>
                <c:pt idx="3">
                  <c:v>West</c:v>
                </c:pt>
              </c:strCache>
            </c:strRef>
          </c:cat>
          <c:val>
            <c:numRef>
              <c:f>Sheet2!$H$4:$H$8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6A58-4A7C-B9F5-E4350B36A731}"/>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a:glow rad="127000">
        <a:srgbClr val="00B050"/>
      </a:glow>
      <a:outerShdw blurRad="50800" dist="50800" dir="5400000" algn="ctr" rotWithShape="0">
        <a:schemeClr val="accent4">
          <a:lumMod val="20000"/>
          <a:lumOff val="8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DASHBOARD FILE.xlsx]Sheet2!PivotTable1</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Sum of Quantity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804-4C1B-935F-8CB6BB23F5F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C804-4C1B-935F-8CB6BB23F5F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C804-4C1B-935F-8CB6BB23F5F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C804-4C1B-935F-8CB6BB23F5F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C804-4C1B-935F-8CB6BB23F5F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C804-4C1B-935F-8CB6BB23F5F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C804-4C1B-935F-8CB6BB23F5F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C804-4C1B-935F-8CB6BB23F5F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C804-4C1B-935F-8CB6BB23F5F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C804-4C1B-935F-8CB6BB23F5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Sheet2!$A$4:$A$12</c:f>
              <c:strCache>
                <c:ptCount val="8"/>
                <c:pt idx="0">
                  <c:v>Camera</c:v>
                </c:pt>
                <c:pt idx="1">
                  <c:v>Fridge</c:v>
                </c:pt>
                <c:pt idx="2">
                  <c:v>Headphones</c:v>
                </c:pt>
                <c:pt idx="3">
                  <c:v>Jeans</c:v>
                </c:pt>
                <c:pt idx="4">
                  <c:v>Laptop</c:v>
                </c:pt>
                <c:pt idx="5">
                  <c:v>Microwave</c:v>
                </c:pt>
                <c:pt idx="6">
                  <c:v>Mobile</c:v>
                </c:pt>
                <c:pt idx="7">
                  <c:v>Shirt</c:v>
                </c:pt>
              </c:strCache>
            </c:strRef>
          </c:cat>
          <c:val>
            <c:numRef>
              <c:f>Sheet2!$B$4:$B$12</c:f>
              <c:numCache>
                <c:formatCode>General</c:formatCode>
                <c:ptCount val="8"/>
                <c:pt idx="0">
                  <c:v>139</c:v>
                </c:pt>
                <c:pt idx="1">
                  <c:v>189</c:v>
                </c:pt>
                <c:pt idx="2">
                  <c:v>203</c:v>
                </c:pt>
                <c:pt idx="3">
                  <c:v>170</c:v>
                </c:pt>
                <c:pt idx="4">
                  <c:v>174</c:v>
                </c:pt>
                <c:pt idx="5">
                  <c:v>224</c:v>
                </c:pt>
                <c:pt idx="6">
                  <c:v>201</c:v>
                </c:pt>
                <c:pt idx="7">
                  <c:v>179</c:v>
                </c:pt>
              </c:numCache>
            </c:numRef>
          </c:val>
          <c:extLst>
            <c:ext xmlns:c16="http://schemas.microsoft.com/office/drawing/2014/chart" uri="{C3380CC4-5D6E-409C-BE32-E72D297353CC}">
              <c16:uniqueId val="{00000019-C804-4C1B-935F-8CB6BB23F5F6}"/>
            </c:ext>
          </c:extLst>
        </c:ser>
        <c:ser>
          <c:idx val="1"/>
          <c:order val="1"/>
          <c:tx>
            <c:strRef>
              <c:f>Sheet2!$C$3</c:f>
              <c:strCache>
                <c:ptCount val="1"/>
                <c:pt idx="0">
                  <c:v>Sum of Total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C804-4C1B-935F-8CB6BB23F5F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C804-4C1B-935F-8CB6BB23F5F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C804-4C1B-935F-8CB6BB23F5F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C804-4C1B-935F-8CB6BB23F5F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C804-4C1B-935F-8CB6BB23F5F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C804-4C1B-935F-8CB6BB23F5F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C804-4C1B-935F-8CB6BB23F5F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C804-4C1B-935F-8CB6BB23F5F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C804-4C1B-935F-8CB6BB23F5F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C804-4C1B-935F-8CB6BB23F5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Sheet2!$A$4:$A$12</c:f>
              <c:strCache>
                <c:ptCount val="8"/>
                <c:pt idx="0">
                  <c:v>Camera</c:v>
                </c:pt>
                <c:pt idx="1">
                  <c:v>Fridge</c:v>
                </c:pt>
                <c:pt idx="2">
                  <c:v>Headphones</c:v>
                </c:pt>
                <c:pt idx="3">
                  <c:v>Jeans</c:v>
                </c:pt>
                <c:pt idx="4">
                  <c:v>Laptop</c:v>
                </c:pt>
                <c:pt idx="5">
                  <c:v>Microwave</c:v>
                </c:pt>
                <c:pt idx="6">
                  <c:v>Mobile</c:v>
                </c:pt>
                <c:pt idx="7">
                  <c:v>Shirt</c:v>
                </c:pt>
              </c:strCache>
            </c:strRef>
          </c:cat>
          <c:val>
            <c:numRef>
              <c:f>Sheet2!$C$4:$C$12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2F-C804-4C1B-935F-8CB6BB23F5F6}"/>
            </c:ext>
          </c:extLst>
        </c:ser>
        <c:ser>
          <c:idx val="2"/>
          <c:order val="2"/>
          <c:tx>
            <c:strRef>
              <c:f>Sheet2!$D$3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Sheet2!$A$4:$A$12</c:f>
              <c:strCache>
                <c:ptCount val="8"/>
                <c:pt idx="0">
                  <c:v>Camera</c:v>
                </c:pt>
                <c:pt idx="1">
                  <c:v>Fridge</c:v>
                </c:pt>
                <c:pt idx="2">
                  <c:v>Headphones</c:v>
                </c:pt>
                <c:pt idx="3">
                  <c:v>Jeans</c:v>
                </c:pt>
                <c:pt idx="4">
                  <c:v>Laptop</c:v>
                </c:pt>
                <c:pt idx="5">
                  <c:v>Microwave</c:v>
                </c:pt>
                <c:pt idx="6">
                  <c:v>Mobile</c:v>
                </c:pt>
                <c:pt idx="7">
                  <c:v>Shirt</c:v>
                </c:pt>
              </c:strCache>
            </c:strRef>
          </c:cat>
          <c:val>
            <c:numRef>
              <c:f>Sheet2!$D$4:$D$12</c:f>
              <c:numCache>
                <c:formatCode>General</c:formatCode>
                <c:ptCount val="8"/>
                <c:pt idx="0">
                  <c:v>158415.20000000001</c:v>
                </c:pt>
                <c:pt idx="1">
                  <c:v>222017.6</c:v>
                </c:pt>
                <c:pt idx="2">
                  <c:v>181844</c:v>
                </c:pt>
                <c:pt idx="3">
                  <c:v>164794.79999999999</c:v>
                </c:pt>
                <c:pt idx="4">
                  <c:v>193009.99999999997</c:v>
                </c:pt>
                <c:pt idx="5">
                  <c:v>202137.99999999997</c:v>
                </c:pt>
                <c:pt idx="6">
                  <c:v>240553.60000000003</c:v>
                </c:pt>
                <c:pt idx="7">
                  <c:v>169783.80000000002</c:v>
                </c:pt>
              </c:numCache>
            </c:numRef>
          </c:val>
          <c:extLst>
            <c:ext xmlns:c16="http://schemas.microsoft.com/office/drawing/2014/chart" uri="{C3380CC4-5D6E-409C-BE32-E72D297353CC}">
              <c16:uniqueId val="{00000030-C804-4C1B-935F-8CB6BB23F5F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DASHBOARD FILE.xlsx]Sheet2!PivotTable4</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Sheet2!$H$23</c:f>
              <c:strCache>
                <c:ptCount val="1"/>
                <c:pt idx="0">
                  <c:v>Sum of Total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8E-4225-8893-177F8EFE683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8E-4225-8893-177F8EFE683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48E-4225-8893-177F8EFE683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48E-4225-8893-177F8EFE683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48E-4225-8893-177F8EFE683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48E-4225-8893-177F8EFE683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48E-4225-8893-177F8EFE683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48E-4225-8893-177F8EFE683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48E-4225-8893-177F8EFE683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348E-4225-8893-177F8EFE68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Sheet2!$G$24:$G$34</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Sheet2!$H$24:$H$34</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extLst>
            <c:ext xmlns:c16="http://schemas.microsoft.com/office/drawing/2014/chart" uri="{C3380CC4-5D6E-409C-BE32-E72D297353CC}">
              <c16:uniqueId val="{00000014-348E-4225-8893-177F8EFE683B}"/>
            </c:ext>
          </c:extLst>
        </c:ser>
        <c:ser>
          <c:idx val="1"/>
          <c:order val="1"/>
          <c:tx>
            <c:strRef>
              <c:f>Sheet2!$I$23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348E-4225-8893-177F8EFE683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348E-4225-8893-177F8EFE683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348E-4225-8893-177F8EFE683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348E-4225-8893-177F8EFE683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348E-4225-8893-177F8EFE683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348E-4225-8893-177F8EFE683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348E-4225-8893-177F8EFE683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348E-4225-8893-177F8EFE683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348E-4225-8893-177F8EFE683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348E-4225-8893-177F8EFE68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Sheet2!$G$24:$G$34</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Sheet2!$I$24:$I$34</c:f>
              <c:numCache>
                <c:formatCode>General</c:formatCode>
                <c:ptCount val="10"/>
                <c:pt idx="0">
                  <c:v>161352.39999999997</c:v>
                </c:pt>
                <c:pt idx="1">
                  <c:v>145814.79999999999</c:v>
                </c:pt>
                <c:pt idx="2">
                  <c:v>155884.60000000003</c:v>
                </c:pt>
                <c:pt idx="3">
                  <c:v>120631.19999999997</c:v>
                </c:pt>
                <c:pt idx="4">
                  <c:v>148327.19999999998</c:v>
                </c:pt>
                <c:pt idx="5">
                  <c:v>156573.80000000002</c:v>
                </c:pt>
                <c:pt idx="6">
                  <c:v>178009.20000000004</c:v>
                </c:pt>
                <c:pt idx="7">
                  <c:v>164827.39999999997</c:v>
                </c:pt>
                <c:pt idx="8">
                  <c:v>173927.59999999998</c:v>
                </c:pt>
                <c:pt idx="9">
                  <c:v>127208.8</c:v>
                </c:pt>
              </c:numCache>
            </c:numRef>
          </c:val>
          <c:extLst>
            <c:ext xmlns:c16="http://schemas.microsoft.com/office/drawing/2014/chart" uri="{C3380CC4-5D6E-409C-BE32-E72D297353CC}">
              <c16:uniqueId val="{00000029-348E-4225-8893-177F8EFE683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DASHBOARD FILE.xlsx]Sheet2!PivotTable1</c:name>
    <c:fmtId val="10"/>
  </c:pivotSource>
  <c:chart>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3"/>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3"/>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Sum of Quantity</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Sheet2!$A$4:$A$12</c:f>
              <c:strCache>
                <c:ptCount val="8"/>
                <c:pt idx="0">
                  <c:v>Camera</c:v>
                </c:pt>
                <c:pt idx="1">
                  <c:v>Fridge</c:v>
                </c:pt>
                <c:pt idx="2">
                  <c:v>Headphones</c:v>
                </c:pt>
                <c:pt idx="3">
                  <c:v>Jeans</c:v>
                </c:pt>
                <c:pt idx="4">
                  <c:v>Laptop</c:v>
                </c:pt>
                <c:pt idx="5">
                  <c:v>Microwave</c:v>
                </c:pt>
                <c:pt idx="6">
                  <c:v>Mobile</c:v>
                </c:pt>
                <c:pt idx="7">
                  <c:v>Shirt</c:v>
                </c:pt>
              </c:strCache>
            </c:strRef>
          </c:cat>
          <c:val>
            <c:numRef>
              <c:f>Sheet2!$B$4:$B$12</c:f>
              <c:numCache>
                <c:formatCode>General</c:formatCode>
                <c:ptCount val="8"/>
                <c:pt idx="0">
                  <c:v>139</c:v>
                </c:pt>
                <c:pt idx="1">
                  <c:v>189</c:v>
                </c:pt>
                <c:pt idx="2">
                  <c:v>203</c:v>
                </c:pt>
                <c:pt idx="3">
                  <c:v>170</c:v>
                </c:pt>
                <c:pt idx="4">
                  <c:v>174</c:v>
                </c:pt>
                <c:pt idx="5">
                  <c:v>224</c:v>
                </c:pt>
                <c:pt idx="6">
                  <c:v>201</c:v>
                </c:pt>
                <c:pt idx="7">
                  <c:v>179</c:v>
                </c:pt>
              </c:numCache>
            </c:numRef>
          </c:val>
          <c:smooth val="0"/>
          <c:extLst>
            <c:ext xmlns:c16="http://schemas.microsoft.com/office/drawing/2014/chart" uri="{C3380CC4-5D6E-409C-BE32-E72D297353CC}">
              <c16:uniqueId val="{00000000-96AC-437C-A7E1-8FCC426D008C}"/>
            </c:ext>
          </c:extLst>
        </c:ser>
        <c:ser>
          <c:idx val="1"/>
          <c:order val="1"/>
          <c:tx>
            <c:strRef>
              <c:f>Sheet2!$C$3</c:f>
              <c:strCache>
                <c:ptCount val="1"/>
                <c:pt idx="0">
                  <c:v>Sum of Total Sales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Sheet2!$A$4:$A$12</c:f>
              <c:strCache>
                <c:ptCount val="8"/>
                <c:pt idx="0">
                  <c:v>Camera</c:v>
                </c:pt>
                <c:pt idx="1">
                  <c:v>Fridge</c:v>
                </c:pt>
                <c:pt idx="2">
                  <c:v>Headphones</c:v>
                </c:pt>
                <c:pt idx="3">
                  <c:v>Jeans</c:v>
                </c:pt>
                <c:pt idx="4">
                  <c:v>Laptop</c:v>
                </c:pt>
                <c:pt idx="5">
                  <c:v>Microwave</c:v>
                </c:pt>
                <c:pt idx="6">
                  <c:v>Mobile</c:v>
                </c:pt>
                <c:pt idx="7">
                  <c:v>Shirt</c:v>
                </c:pt>
              </c:strCache>
            </c:strRef>
          </c:cat>
          <c:val>
            <c:numRef>
              <c:f>Sheet2!$C$4:$C$12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smooth val="0"/>
          <c:extLst>
            <c:ext xmlns:c16="http://schemas.microsoft.com/office/drawing/2014/chart" uri="{C3380CC4-5D6E-409C-BE32-E72D297353CC}">
              <c16:uniqueId val="{00000001-96AC-437C-A7E1-8FCC426D008C}"/>
            </c:ext>
          </c:extLst>
        </c:ser>
        <c:ser>
          <c:idx val="2"/>
          <c:order val="2"/>
          <c:tx>
            <c:strRef>
              <c:f>Sheet2!$D$3</c:f>
              <c:strCache>
                <c:ptCount val="1"/>
                <c:pt idx="0">
                  <c:v>Sum of Profit</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Sheet2!$A$4:$A$12</c:f>
              <c:strCache>
                <c:ptCount val="8"/>
                <c:pt idx="0">
                  <c:v>Camera</c:v>
                </c:pt>
                <c:pt idx="1">
                  <c:v>Fridge</c:v>
                </c:pt>
                <c:pt idx="2">
                  <c:v>Headphones</c:v>
                </c:pt>
                <c:pt idx="3">
                  <c:v>Jeans</c:v>
                </c:pt>
                <c:pt idx="4">
                  <c:v>Laptop</c:v>
                </c:pt>
                <c:pt idx="5">
                  <c:v>Microwave</c:v>
                </c:pt>
                <c:pt idx="6">
                  <c:v>Mobile</c:v>
                </c:pt>
                <c:pt idx="7">
                  <c:v>Shirt</c:v>
                </c:pt>
              </c:strCache>
            </c:strRef>
          </c:cat>
          <c:val>
            <c:numRef>
              <c:f>Sheet2!$D$4:$D$12</c:f>
              <c:numCache>
                <c:formatCode>General</c:formatCode>
                <c:ptCount val="8"/>
                <c:pt idx="0">
                  <c:v>158415.20000000001</c:v>
                </c:pt>
                <c:pt idx="1">
                  <c:v>222017.6</c:v>
                </c:pt>
                <c:pt idx="2">
                  <c:v>181844</c:v>
                </c:pt>
                <c:pt idx="3">
                  <c:v>164794.79999999999</c:v>
                </c:pt>
                <c:pt idx="4">
                  <c:v>193009.99999999997</c:v>
                </c:pt>
                <c:pt idx="5">
                  <c:v>202137.99999999997</c:v>
                </c:pt>
                <c:pt idx="6">
                  <c:v>240553.60000000003</c:v>
                </c:pt>
                <c:pt idx="7">
                  <c:v>169783.80000000002</c:v>
                </c:pt>
              </c:numCache>
            </c:numRef>
          </c:val>
          <c:smooth val="0"/>
          <c:extLst>
            <c:ext xmlns:c16="http://schemas.microsoft.com/office/drawing/2014/chart" uri="{C3380CC4-5D6E-409C-BE32-E72D297353CC}">
              <c16:uniqueId val="{00000002-96AC-437C-A7E1-8FCC426D008C}"/>
            </c:ext>
          </c:extLst>
        </c:ser>
        <c:dLbls>
          <c:showLegendKey val="0"/>
          <c:showVal val="1"/>
          <c:showCatName val="0"/>
          <c:showSerName val="0"/>
          <c:showPercent val="0"/>
          <c:showBubbleSize val="0"/>
        </c:dLbls>
        <c:marker val="1"/>
        <c:smooth val="0"/>
        <c:axId val="660178576"/>
        <c:axId val="660178992"/>
      </c:lineChart>
      <c:catAx>
        <c:axId val="660178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60178992"/>
        <c:crosses val="autoZero"/>
        <c:auto val="1"/>
        <c:lblAlgn val="ctr"/>
        <c:lblOffset val="100"/>
        <c:noMultiLvlLbl val="0"/>
      </c:catAx>
      <c:valAx>
        <c:axId val="66017899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17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DASHBOARD FILE.xlsx]Sheet2!PivotTable4</c:name>
    <c:fmtId val="6"/>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Sheet2!$H$23</c:f>
              <c:strCache>
                <c:ptCount val="1"/>
                <c:pt idx="0">
                  <c:v>Sum of Total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Sheet2!$G$24:$G$34</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Sheet2!$H$24:$H$34</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812E-48ED-892A-0B119919AC66}"/>
            </c:ext>
          </c:extLst>
        </c:ser>
        <c:ser>
          <c:idx val="1"/>
          <c:order val="1"/>
          <c:tx>
            <c:strRef>
              <c:f>Sheet2!$I$23</c:f>
              <c:strCache>
                <c:ptCount val="1"/>
                <c:pt idx="0">
                  <c:v>Sum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Sheet2!$G$24:$G$34</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Sheet2!$I$24:$I$34</c:f>
              <c:numCache>
                <c:formatCode>General</c:formatCode>
                <c:ptCount val="10"/>
                <c:pt idx="0">
                  <c:v>161352.39999999997</c:v>
                </c:pt>
                <c:pt idx="1">
                  <c:v>145814.79999999999</c:v>
                </c:pt>
                <c:pt idx="2">
                  <c:v>155884.60000000003</c:v>
                </c:pt>
                <c:pt idx="3">
                  <c:v>120631.19999999997</c:v>
                </c:pt>
                <c:pt idx="4">
                  <c:v>148327.19999999998</c:v>
                </c:pt>
                <c:pt idx="5">
                  <c:v>156573.80000000002</c:v>
                </c:pt>
                <c:pt idx="6">
                  <c:v>178009.20000000004</c:v>
                </c:pt>
                <c:pt idx="7">
                  <c:v>164827.39999999997</c:v>
                </c:pt>
                <c:pt idx="8">
                  <c:v>173927.59999999998</c:v>
                </c:pt>
                <c:pt idx="9">
                  <c:v>127208.8</c:v>
                </c:pt>
              </c:numCache>
            </c:numRef>
          </c:val>
          <c:smooth val="0"/>
          <c:extLst>
            <c:ext xmlns:c16="http://schemas.microsoft.com/office/drawing/2014/chart" uri="{C3380CC4-5D6E-409C-BE32-E72D297353CC}">
              <c16:uniqueId val="{00000001-812E-48ED-892A-0B119919AC66}"/>
            </c:ext>
          </c:extLst>
        </c:ser>
        <c:dLbls>
          <c:showLegendKey val="0"/>
          <c:showVal val="0"/>
          <c:showCatName val="0"/>
          <c:showSerName val="0"/>
          <c:showPercent val="0"/>
          <c:showBubbleSize val="0"/>
        </c:dLbls>
        <c:marker val="1"/>
        <c:smooth val="0"/>
        <c:axId val="463119408"/>
        <c:axId val="463113584"/>
      </c:lineChart>
      <c:catAx>
        <c:axId val="463119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3113584"/>
        <c:crosses val="autoZero"/>
        <c:auto val="1"/>
        <c:lblAlgn val="ctr"/>
        <c:lblOffset val="100"/>
        <c:noMultiLvlLbl val="0"/>
      </c:catAx>
      <c:valAx>
        <c:axId val="4631135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311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85724</xdr:rowOff>
    </xdr:from>
    <xdr:to>
      <xdr:col>28</xdr:col>
      <xdr:colOff>571500</xdr:colOff>
      <xdr:row>29</xdr:row>
      <xdr:rowOff>122463</xdr:rowOff>
    </xdr:to>
    <xdr:sp macro="" textlink="">
      <xdr:nvSpPr>
        <xdr:cNvPr id="2" name="Rectangle 1">
          <a:extLst>
            <a:ext uri="{FF2B5EF4-FFF2-40B4-BE49-F238E27FC236}">
              <a16:creationId xmlns:a16="http://schemas.microsoft.com/office/drawing/2014/main" id="{ADD063BB-1018-7FB0-F362-D88A20DF49E9}"/>
            </a:ext>
          </a:extLst>
        </xdr:cNvPr>
        <xdr:cNvSpPr/>
      </xdr:nvSpPr>
      <xdr:spPr>
        <a:xfrm>
          <a:off x="95250" y="85724"/>
          <a:ext cx="17621250" cy="5561239"/>
        </a:xfrm>
        <a:prstGeom prst="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491216</xdr:colOff>
      <xdr:row>1</xdr:row>
      <xdr:rowOff>2721</xdr:rowOff>
    </xdr:from>
    <xdr:to>
      <xdr:col>16</xdr:col>
      <xdr:colOff>221796</xdr:colOff>
      <xdr:row>3</xdr:row>
      <xdr:rowOff>155121</xdr:rowOff>
    </xdr:to>
    <xdr:sp macro="" textlink="">
      <xdr:nvSpPr>
        <xdr:cNvPr id="3" name="TextBox 2">
          <a:extLst>
            <a:ext uri="{FF2B5EF4-FFF2-40B4-BE49-F238E27FC236}">
              <a16:creationId xmlns:a16="http://schemas.microsoft.com/office/drawing/2014/main" id="{EE05BDD1-C6D5-3BEC-8CBA-6D5885F28B00}"/>
            </a:ext>
          </a:extLst>
        </xdr:cNvPr>
        <xdr:cNvSpPr txBox="1"/>
      </xdr:nvSpPr>
      <xdr:spPr>
        <a:xfrm>
          <a:off x="6002109" y="193221"/>
          <a:ext cx="4016830" cy="5334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Diwali Sales Dashboard - 2026</a:t>
          </a:r>
        </a:p>
      </xdr:txBody>
    </xdr:sp>
    <xdr:clientData/>
  </xdr:twoCellAnchor>
  <xdr:twoCellAnchor>
    <xdr:from>
      <xdr:col>0</xdr:col>
      <xdr:colOff>202746</xdr:colOff>
      <xdr:row>8</xdr:row>
      <xdr:rowOff>108857</xdr:rowOff>
    </xdr:from>
    <xdr:to>
      <xdr:col>6</xdr:col>
      <xdr:colOff>567417</xdr:colOff>
      <xdr:row>29</xdr:row>
      <xdr:rowOff>68035</xdr:rowOff>
    </xdr:to>
    <xdr:sp macro="" textlink="">
      <xdr:nvSpPr>
        <xdr:cNvPr id="4" name="Rectangle 3">
          <a:extLst>
            <a:ext uri="{FF2B5EF4-FFF2-40B4-BE49-F238E27FC236}">
              <a16:creationId xmlns:a16="http://schemas.microsoft.com/office/drawing/2014/main" id="{8E183748-5B2F-9BB9-52BE-AE0390B35D07}"/>
            </a:ext>
          </a:extLst>
        </xdr:cNvPr>
        <xdr:cNvSpPr/>
      </xdr:nvSpPr>
      <xdr:spPr>
        <a:xfrm>
          <a:off x="202746" y="1632857"/>
          <a:ext cx="4038600" cy="3959678"/>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106456</xdr:colOff>
      <xdr:row>13</xdr:row>
      <xdr:rowOff>95249</xdr:rowOff>
    </xdr:from>
    <xdr:to>
      <xdr:col>19</xdr:col>
      <xdr:colOff>353786</xdr:colOff>
      <xdr:row>29</xdr:row>
      <xdr:rowOff>68036</xdr:rowOff>
    </xdr:to>
    <xdr:sp macro="" textlink="">
      <xdr:nvSpPr>
        <xdr:cNvPr id="5" name="Rectangle 4">
          <a:extLst>
            <a:ext uri="{FF2B5EF4-FFF2-40B4-BE49-F238E27FC236}">
              <a16:creationId xmlns:a16="http://schemas.microsoft.com/office/drawing/2014/main" id="{F335732E-32F6-49EB-82F8-D98D83433859}"/>
            </a:ext>
          </a:extLst>
        </xdr:cNvPr>
        <xdr:cNvSpPr/>
      </xdr:nvSpPr>
      <xdr:spPr>
        <a:xfrm>
          <a:off x="4392706" y="2571749"/>
          <a:ext cx="7595187" cy="3020787"/>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557893</xdr:colOff>
      <xdr:row>13</xdr:row>
      <xdr:rowOff>108856</xdr:rowOff>
    </xdr:from>
    <xdr:to>
      <xdr:col>28</xdr:col>
      <xdr:colOff>449036</xdr:colOff>
      <xdr:row>28</xdr:row>
      <xdr:rowOff>190499</xdr:rowOff>
    </xdr:to>
    <xdr:sp macro="" textlink="">
      <xdr:nvSpPr>
        <xdr:cNvPr id="6" name="Rectangle 5">
          <a:extLst>
            <a:ext uri="{FF2B5EF4-FFF2-40B4-BE49-F238E27FC236}">
              <a16:creationId xmlns:a16="http://schemas.microsoft.com/office/drawing/2014/main" id="{BC92E9CD-5C22-41B0-BB52-43376A0FD597}"/>
            </a:ext>
          </a:extLst>
        </xdr:cNvPr>
        <xdr:cNvSpPr/>
      </xdr:nvSpPr>
      <xdr:spPr>
        <a:xfrm>
          <a:off x="12192000" y="2585356"/>
          <a:ext cx="5402036" cy="2939143"/>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557893</xdr:colOff>
      <xdr:row>0</xdr:row>
      <xdr:rowOff>133349</xdr:rowOff>
    </xdr:from>
    <xdr:to>
      <xdr:col>28</xdr:col>
      <xdr:colOff>449036</xdr:colOff>
      <xdr:row>13</xdr:row>
      <xdr:rowOff>0</xdr:rowOff>
    </xdr:to>
    <xdr:sp macro="" textlink="">
      <xdr:nvSpPr>
        <xdr:cNvPr id="7" name="Rectangle 6">
          <a:extLst>
            <a:ext uri="{FF2B5EF4-FFF2-40B4-BE49-F238E27FC236}">
              <a16:creationId xmlns:a16="http://schemas.microsoft.com/office/drawing/2014/main" id="{2C9D2CEB-987D-47DA-92F6-6D7CBA4F7B43}"/>
            </a:ext>
          </a:extLst>
        </xdr:cNvPr>
        <xdr:cNvSpPr/>
      </xdr:nvSpPr>
      <xdr:spPr>
        <a:xfrm>
          <a:off x="12192000" y="133349"/>
          <a:ext cx="5402036" cy="2343151"/>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108858</xdr:colOff>
      <xdr:row>4</xdr:row>
      <xdr:rowOff>27214</xdr:rowOff>
    </xdr:from>
    <xdr:to>
      <xdr:col>11</xdr:col>
      <xdr:colOff>54429</xdr:colOff>
      <xdr:row>13</xdr:row>
      <xdr:rowOff>13607</xdr:rowOff>
    </xdr:to>
    <xdr:sp macro="" textlink="">
      <xdr:nvSpPr>
        <xdr:cNvPr id="14" name="Rectangle 13">
          <a:extLst>
            <a:ext uri="{FF2B5EF4-FFF2-40B4-BE49-F238E27FC236}">
              <a16:creationId xmlns:a16="http://schemas.microsoft.com/office/drawing/2014/main" id="{B8FDB477-9DE9-C110-1CF0-195B148B9A0D}"/>
            </a:ext>
          </a:extLst>
        </xdr:cNvPr>
        <xdr:cNvSpPr/>
      </xdr:nvSpPr>
      <xdr:spPr>
        <a:xfrm>
          <a:off x="4395108" y="789214"/>
          <a:ext cx="2394857" cy="1700893"/>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176891</xdr:colOff>
      <xdr:row>4</xdr:row>
      <xdr:rowOff>16328</xdr:rowOff>
    </xdr:from>
    <xdr:to>
      <xdr:col>15</xdr:col>
      <xdr:colOff>193221</xdr:colOff>
      <xdr:row>13</xdr:row>
      <xdr:rowOff>2721</xdr:rowOff>
    </xdr:to>
    <xdr:sp macro="" textlink="">
      <xdr:nvSpPr>
        <xdr:cNvPr id="15" name="Rectangle 14">
          <a:extLst>
            <a:ext uri="{FF2B5EF4-FFF2-40B4-BE49-F238E27FC236}">
              <a16:creationId xmlns:a16="http://schemas.microsoft.com/office/drawing/2014/main" id="{FA0592A9-A6D2-4C35-A610-B178F089ED82}"/>
            </a:ext>
          </a:extLst>
        </xdr:cNvPr>
        <xdr:cNvSpPr/>
      </xdr:nvSpPr>
      <xdr:spPr>
        <a:xfrm>
          <a:off x="6912427" y="778328"/>
          <a:ext cx="2465615" cy="1700893"/>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367393</xdr:colOff>
      <xdr:row>4</xdr:row>
      <xdr:rowOff>5442</xdr:rowOff>
    </xdr:from>
    <xdr:to>
      <xdr:col>19</xdr:col>
      <xdr:colOff>359229</xdr:colOff>
      <xdr:row>12</xdr:row>
      <xdr:rowOff>182335</xdr:rowOff>
    </xdr:to>
    <xdr:sp macro="" textlink="">
      <xdr:nvSpPr>
        <xdr:cNvPr id="16" name="Rectangle 15">
          <a:extLst>
            <a:ext uri="{FF2B5EF4-FFF2-40B4-BE49-F238E27FC236}">
              <a16:creationId xmlns:a16="http://schemas.microsoft.com/office/drawing/2014/main" id="{5307E616-161C-4CD1-9B31-B8A37F64FE98}"/>
            </a:ext>
          </a:extLst>
        </xdr:cNvPr>
        <xdr:cNvSpPr/>
      </xdr:nvSpPr>
      <xdr:spPr>
        <a:xfrm>
          <a:off x="9552214" y="767442"/>
          <a:ext cx="2441122" cy="1700893"/>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217714</xdr:colOff>
      <xdr:row>0</xdr:row>
      <xdr:rowOff>149679</xdr:rowOff>
    </xdr:from>
    <xdr:to>
      <xdr:col>6</xdr:col>
      <xdr:colOff>571500</xdr:colOff>
      <xdr:row>8</xdr:row>
      <xdr:rowOff>40821</xdr:rowOff>
    </xdr:to>
    <xdr:sp macro="" textlink="">
      <xdr:nvSpPr>
        <xdr:cNvPr id="17" name="Rectangle 16">
          <a:extLst>
            <a:ext uri="{FF2B5EF4-FFF2-40B4-BE49-F238E27FC236}">
              <a16:creationId xmlns:a16="http://schemas.microsoft.com/office/drawing/2014/main" id="{924CF1A6-B834-5EB6-23CF-78079E1F0ED2}"/>
            </a:ext>
          </a:extLst>
        </xdr:cNvPr>
        <xdr:cNvSpPr/>
      </xdr:nvSpPr>
      <xdr:spPr>
        <a:xfrm>
          <a:off x="217714" y="149679"/>
          <a:ext cx="4027715" cy="1415142"/>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190500</xdr:colOff>
      <xdr:row>4</xdr:row>
      <xdr:rowOff>108857</xdr:rowOff>
    </xdr:from>
    <xdr:to>
      <xdr:col>10</xdr:col>
      <xdr:colOff>571500</xdr:colOff>
      <xdr:row>8</xdr:row>
      <xdr:rowOff>27214</xdr:rowOff>
    </xdr:to>
    <xdr:sp macro="" textlink="">
      <xdr:nvSpPr>
        <xdr:cNvPr id="18" name="TextBox 17">
          <a:extLst>
            <a:ext uri="{FF2B5EF4-FFF2-40B4-BE49-F238E27FC236}">
              <a16:creationId xmlns:a16="http://schemas.microsoft.com/office/drawing/2014/main" id="{AB4C2A60-1884-2B52-B937-698D60E62E81}"/>
            </a:ext>
          </a:extLst>
        </xdr:cNvPr>
        <xdr:cNvSpPr txBox="1"/>
      </xdr:nvSpPr>
      <xdr:spPr>
        <a:xfrm>
          <a:off x="4476750" y="870857"/>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Total Sales</a:t>
          </a:r>
        </a:p>
      </xdr:txBody>
    </xdr:sp>
    <xdr:clientData/>
  </xdr:twoCellAnchor>
  <xdr:twoCellAnchor>
    <xdr:from>
      <xdr:col>7</xdr:col>
      <xdr:colOff>179614</xdr:colOff>
      <xdr:row>8</xdr:row>
      <xdr:rowOff>166007</xdr:rowOff>
    </xdr:from>
    <xdr:to>
      <xdr:col>10</xdr:col>
      <xdr:colOff>560614</xdr:colOff>
      <xdr:row>12</xdr:row>
      <xdr:rowOff>84364</xdr:rowOff>
    </xdr:to>
    <xdr:sp macro="" textlink="'Pivot Tables'!L4">
      <xdr:nvSpPr>
        <xdr:cNvPr id="19" name="TextBox 18">
          <a:extLst>
            <a:ext uri="{FF2B5EF4-FFF2-40B4-BE49-F238E27FC236}">
              <a16:creationId xmlns:a16="http://schemas.microsoft.com/office/drawing/2014/main" id="{FA93E5EC-F421-453F-AF2C-2CC921B52CA8}"/>
            </a:ext>
          </a:extLst>
        </xdr:cNvPr>
        <xdr:cNvSpPr txBox="1"/>
      </xdr:nvSpPr>
      <xdr:spPr>
        <a:xfrm>
          <a:off x="4465864" y="1690007"/>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B5B36A-E4B5-4C69-92A0-3E024BB5E0DC}" type="TxLink">
            <a:rPr lang="en-US" sz="3200" b="0" i="0" u="none" strike="noStrike">
              <a:solidFill>
                <a:schemeClr val="bg1"/>
              </a:solidFill>
              <a:latin typeface="Calibri"/>
              <a:ea typeface="Calibri"/>
              <a:cs typeface="Calibri"/>
            </a:rPr>
            <a:pPr algn="ctr"/>
            <a:t>37227091</a:t>
          </a:fld>
          <a:endParaRPr lang="en-IN" sz="3200">
            <a:solidFill>
              <a:schemeClr val="bg1"/>
            </a:solidFill>
          </a:endParaRPr>
        </a:p>
      </xdr:txBody>
    </xdr:sp>
    <xdr:clientData/>
  </xdr:twoCellAnchor>
  <xdr:twoCellAnchor>
    <xdr:from>
      <xdr:col>11</xdr:col>
      <xdr:colOff>291193</xdr:colOff>
      <xdr:row>8</xdr:row>
      <xdr:rowOff>155122</xdr:rowOff>
    </xdr:from>
    <xdr:to>
      <xdr:col>15</xdr:col>
      <xdr:colOff>59872</xdr:colOff>
      <xdr:row>12</xdr:row>
      <xdr:rowOff>73479</xdr:rowOff>
    </xdr:to>
    <xdr:sp macro="" textlink="'Pivot Tables'!L5">
      <xdr:nvSpPr>
        <xdr:cNvPr id="20" name="TextBox 19">
          <a:extLst>
            <a:ext uri="{FF2B5EF4-FFF2-40B4-BE49-F238E27FC236}">
              <a16:creationId xmlns:a16="http://schemas.microsoft.com/office/drawing/2014/main" id="{870E5750-BCC2-4728-9EE5-9DA72088C22C}"/>
            </a:ext>
          </a:extLst>
        </xdr:cNvPr>
        <xdr:cNvSpPr txBox="1"/>
      </xdr:nvSpPr>
      <xdr:spPr>
        <a:xfrm>
          <a:off x="7026729" y="1679122"/>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B168A6-EF99-4E37-84FA-31F033C87E04}" type="TxLink">
            <a:rPr lang="en-US" sz="3200" b="0" i="0" u="none" strike="noStrike">
              <a:solidFill>
                <a:schemeClr val="bg1"/>
              </a:solidFill>
              <a:latin typeface="Calibri"/>
              <a:ea typeface="Calibri"/>
              <a:cs typeface="Calibri"/>
            </a:rPr>
            <a:pPr algn="ctr"/>
            <a:t>1532557</a:t>
          </a:fld>
          <a:endParaRPr lang="en-IN" sz="3200">
            <a:solidFill>
              <a:schemeClr val="bg1"/>
            </a:solidFill>
          </a:endParaRPr>
        </a:p>
      </xdr:txBody>
    </xdr:sp>
    <xdr:clientData/>
  </xdr:twoCellAnchor>
  <xdr:twoCellAnchor>
    <xdr:from>
      <xdr:col>11</xdr:col>
      <xdr:colOff>280307</xdr:colOff>
      <xdr:row>4</xdr:row>
      <xdr:rowOff>117021</xdr:rowOff>
    </xdr:from>
    <xdr:to>
      <xdr:col>15</xdr:col>
      <xdr:colOff>48986</xdr:colOff>
      <xdr:row>8</xdr:row>
      <xdr:rowOff>35378</xdr:rowOff>
    </xdr:to>
    <xdr:sp macro="" textlink="">
      <xdr:nvSpPr>
        <xdr:cNvPr id="21" name="TextBox 20">
          <a:extLst>
            <a:ext uri="{FF2B5EF4-FFF2-40B4-BE49-F238E27FC236}">
              <a16:creationId xmlns:a16="http://schemas.microsoft.com/office/drawing/2014/main" id="{F1E14E53-1630-4D48-A57B-795817FDD1B0}"/>
            </a:ext>
          </a:extLst>
        </xdr:cNvPr>
        <xdr:cNvSpPr txBox="1"/>
      </xdr:nvSpPr>
      <xdr:spPr>
        <a:xfrm>
          <a:off x="7015843" y="879021"/>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Total Profit</a:t>
          </a:r>
        </a:p>
      </xdr:txBody>
    </xdr:sp>
    <xdr:clientData/>
  </xdr:twoCellAnchor>
  <xdr:twoCellAnchor>
    <xdr:from>
      <xdr:col>15</xdr:col>
      <xdr:colOff>473529</xdr:colOff>
      <xdr:row>8</xdr:row>
      <xdr:rowOff>133349</xdr:rowOff>
    </xdr:from>
    <xdr:to>
      <xdr:col>19</xdr:col>
      <xdr:colOff>242207</xdr:colOff>
      <xdr:row>12</xdr:row>
      <xdr:rowOff>51706</xdr:rowOff>
    </xdr:to>
    <xdr:sp macro="" textlink="'Pivot Tables'!L6">
      <xdr:nvSpPr>
        <xdr:cNvPr id="22" name="TextBox 21">
          <a:extLst>
            <a:ext uri="{FF2B5EF4-FFF2-40B4-BE49-F238E27FC236}">
              <a16:creationId xmlns:a16="http://schemas.microsoft.com/office/drawing/2014/main" id="{FD2A596E-1EA0-4397-AFF8-AA7F6CED3F4E}"/>
            </a:ext>
          </a:extLst>
        </xdr:cNvPr>
        <xdr:cNvSpPr txBox="1"/>
      </xdr:nvSpPr>
      <xdr:spPr>
        <a:xfrm>
          <a:off x="9658350" y="1657349"/>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AA8C80-2213-4BA1-9EA4-C7FF61467584}" type="TxLink">
            <a:rPr lang="en-US" sz="3200" b="0" i="0" u="none" strike="noStrike">
              <a:solidFill>
                <a:schemeClr val="bg1"/>
              </a:solidFill>
              <a:latin typeface="Calibri"/>
              <a:ea typeface="Calibri"/>
              <a:cs typeface="Calibri"/>
            </a:rPr>
            <a:pPr algn="ctr"/>
            <a:t>1479</a:t>
          </a:fld>
          <a:endParaRPr lang="en-IN" sz="3200">
            <a:solidFill>
              <a:schemeClr val="bg1"/>
            </a:solidFill>
          </a:endParaRPr>
        </a:p>
      </xdr:txBody>
    </xdr:sp>
    <xdr:clientData/>
  </xdr:twoCellAnchor>
  <xdr:twoCellAnchor>
    <xdr:from>
      <xdr:col>15</xdr:col>
      <xdr:colOff>462644</xdr:colOff>
      <xdr:row>4</xdr:row>
      <xdr:rowOff>108856</xdr:rowOff>
    </xdr:from>
    <xdr:to>
      <xdr:col>19</xdr:col>
      <xdr:colOff>231322</xdr:colOff>
      <xdr:row>8</xdr:row>
      <xdr:rowOff>27213</xdr:rowOff>
    </xdr:to>
    <xdr:sp macro="" textlink="">
      <xdr:nvSpPr>
        <xdr:cNvPr id="23" name="TextBox 22">
          <a:extLst>
            <a:ext uri="{FF2B5EF4-FFF2-40B4-BE49-F238E27FC236}">
              <a16:creationId xmlns:a16="http://schemas.microsoft.com/office/drawing/2014/main" id="{7181E69F-4500-47F8-A241-A2EA6DFA85E5}"/>
            </a:ext>
          </a:extLst>
        </xdr:cNvPr>
        <xdr:cNvSpPr txBox="1"/>
      </xdr:nvSpPr>
      <xdr:spPr>
        <a:xfrm>
          <a:off x="9647465" y="870856"/>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Total QTY.</a:t>
          </a:r>
        </a:p>
      </xdr:txBody>
    </xdr:sp>
    <xdr:clientData/>
  </xdr:twoCellAnchor>
  <xdr:twoCellAnchor>
    <xdr:from>
      <xdr:col>20</xdr:col>
      <xdr:colOff>13607</xdr:colOff>
      <xdr:row>13</xdr:row>
      <xdr:rowOff>149678</xdr:rowOff>
    </xdr:from>
    <xdr:to>
      <xdr:col>28</xdr:col>
      <xdr:colOff>381000</xdr:colOff>
      <xdr:row>28</xdr:row>
      <xdr:rowOff>149679</xdr:rowOff>
    </xdr:to>
    <xdr:graphicFrame macro="">
      <xdr:nvGraphicFramePr>
        <xdr:cNvPr id="24" name="Chart 23">
          <a:extLst>
            <a:ext uri="{FF2B5EF4-FFF2-40B4-BE49-F238E27FC236}">
              <a16:creationId xmlns:a16="http://schemas.microsoft.com/office/drawing/2014/main" id="{54A89355-0149-49CE-B038-59261BBA1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598715</xdr:colOff>
      <xdr:row>0</xdr:row>
      <xdr:rowOff>187778</xdr:rowOff>
    </xdr:from>
    <xdr:to>
      <xdr:col>28</xdr:col>
      <xdr:colOff>381000</xdr:colOff>
      <xdr:row>12</xdr:row>
      <xdr:rowOff>108857</xdr:rowOff>
    </xdr:to>
    <xdr:graphicFrame macro="">
      <xdr:nvGraphicFramePr>
        <xdr:cNvPr id="26" name="Chart 25">
          <a:extLst>
            <a:ext uri="{FF2B5EF4-FFF2-40B4-BE49-F238E27FC236}">
              <a16:creationId xmlns:a16="http://schemas.microsoft.com/office/drawing/2014/main" id="{F7A4A275-BEA0-46F6-904A-61E44E9E4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272142</xdr:colOff>
      <xdr:row>8</xdr:row>
      <xdr:rowOff>163286</xdr:rowOff>
    </xdr:from>
    <xdr:to>
      <xdr:col>6</xdr:col>
      <xdr:colOff>517071</xdr:colOff>
      <xdr:row>29</xdr:row>
      <xdr:rowOff>27213</xdr:rowOff>
    </xdr:to>
    <xdr:graphicFrame macro="">
      <xdr:nvGraphicFramePr>
        <xdr:cNvPr id="27" name="Chart 26">
          <a:extLst>
            <a:ext uri="{FF2B5EF4-FFF2-40B4-BE49-F238E27FC236}">
              <a16:creationId xmlns:a16="http://schemas.microsoft.com/office/drawing/2014/main" id="{8CCCECFC-D903-4C5D-B46C-1C4C300EC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190500</xdr:colOff>
      <xdr:row>13</xdr:row>
      <xdr:rowOff>149679</xdr:rowOff>
    </xdr:from>
    <xdr:to>
      <xdr:col>19</xdr:col>
      <xdr:colOff>299357</xdr:colOff>
      <xdr:row>29</xdr:row>
      <xdr:rowOff>27214</xdr:rowOff>
    </xdr:to>
    <xdr:graphicFrame macro="">
      <xdr:nvGraphicFramePr>
        <xdr:cNvPr id="28" name="Chart 27">
          <a:extLst>
            <a:ext uri="{FF2B5EF4-FFF2-40B4-BE49-F238E27FC236}">
              <a16:creationId xmlns:a16="http://schemas.microsoft.com/office/drawing/2014/main" id="{E9D01A9D-3554-4356-897A-ED41DEB46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285750</xdr:colOff>
      <xdr:row>1</xdr:row>
      <xdr:rowOff>0</xdr:rowOff>
    </xdr:from>
    <xdr:to>
      <xdr:col>6</xdr:col>
      <xdr:colOff>517071</xdr:colOff>
      <xdr:row>7</xdr:row>
      <xdr:rowOff>163285</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B2F42F13-7F7D-4C07-B737-64D56A3F4A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0" y="190500"/>
              <a:ext cx="3905250" cy="1306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47625</xdr:colOff>
      <xdr:row>0</xdr:row>
      <xdr:rowOff>47625</xdr:rowOff>
    </xdr:from>
    <xdr:to>
      <xdr:col>8</xdr:col>
      <xdr:colOff>592425</xdr:colOff>
      <xdr:row>1</xdr:row>
      <xdr:rowOff>152400</xdr:rowOff>
    </xdr:to>
    <xdr:sp macro="" textlink="">
      <xdr:nvSpPr>
        <xdr:cNvPr id="2" name="Rectangle 1">
          <a:extLst>
            <a:ext uri="{FF2B5EF4-FFF2-40B4-BE49-F238E27FC236}">
              <a16:creationId xmlns:a16="http://schemas.microsoft.com/office/drawing/2014/main" id="{74AB55E2-C1A7-5FF3-B2BB-BF83A661FF82}"/>
            </a:ext>
          </a:extLst>
        </xdr:cNvPr>
        <xdr:cNvSpPr/>
      </xdr:nvSpPr>
      <xdr:spPr>
        <a:xfrm>
          <a:off x="3705225" y="47625"/>
          <a:ext cx="1764000" cy="29527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DIWALI SALES DASHBOARD</a:t>
          </a:r>
        </a:p>
      </xdr:txBody>
    </xdr:sp>
    <xdr:clientData/>
  </xdr:twoCellAnchor>
  <xdr:twoCellAnchor>
    <xdr:from>
      <xdr:col>0</xdr:col>
      <xdr:colOff>123825</xdr:colOff>
      <xdr:row>0</xdr:row>
      <xdr:rowOff>19049</xdr:rowOff>
    </xdr:from>
    <xdr:to>
      <xdr:col>2</xdr:col>
      <xdr:colOff>114300</xdr:colOff>
      <xdr:row>2</xdr:row>
      <xdr:rowOff>161924</xdr:rowOff>
    </xdr:to>
    <xdr:sp macro="" textlink="">
      <xdr:nvSpPr>
        <xdr:cNvPr id="4" name="Rectangle 3">
          <a:extLst>
            <a:ext uri="{FF2B5EF4-FFF2-40B4-BE49-F238E27FC236}">
              <a16:creationId xmlns:a16="http://schemas.microsoft.com/office/drawing/2014/main" id="{6C6C9093-4604-1F22-ABA7-DD123A8A2546}"/>
            </a:ext>
          </a:extLst>
        </xdr:cNvPr>
        <xdr:cNvSpPr/>
      </xdr:nvSpPr>
      <xdr:spPr>
        <a:xfrm>
          <a:off x="123825" y="19049"/>
          <a:ext cx="1209675" cy="5238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4</xdr:row>
      <xdr:rowOff>0</xdr:rowOff>
    </xdr:from>
    <xdr:to>
      <xdr:col>2</xdr:col>
      <xdr:colOff>142875</xdr:colOff>
      <xdr:row>6</xdr:row>
      <xdr:rowOff>142875</xdr:rowOff>
    </xdr:to>
    <xdr:sp macro="" textlink="">
      <xdr:nvSpPr>
        <xdr:cNvPr id="5" name="Rectangle 4">
          <a:extLst>
            <a:ext uri="{FF2B5EF4-FFF2-40B4-BE49-F238E27FC236}">
              <a16:creationId xmlns:a16="http://schemas.microsoft.com/office/drawing/2014/main" id="{5AE8E8A4-4308-7914-B677-8FC9EE5D9883}"/>
            </a:ext>
          </a:extLst>
        </xdr:cNvPr>
        <xdr:cNvSpPr/>
      </xdr:nvSpPr>
      <xdr:spPr>
        <a:xfrm>
          <a:off x="114300" y="762000"/>
          <a:ext cx="1247775" cy="5238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8</xdr:row>
      <xdr:rowOff>133350</xdr:rowOff>
    </xdr:from>
    <xdr:to>
      <xdr:col>5</xdr:col>
      <xdr:colOff>514350</xdr:colOff>
      <xdr:row>23</xdr:row>
      <xdr:rowOff>47625</xdr:rowOff>
    </xdr:to>
    <xdr:sp macro="" textlink="">
      <xdr:nvSpPr>
        <xdr:cNvPr id="6" name="Rectangle 5">
          <a:extLst>
            <a:ext uri="{FF2B5EF4-FFF2-40B4-BE49-F238E27FC236}">
              <a16:creationId xmlns:a16="http://schemas.microsoft.com/office/drawing/2014/main" id="{E5EA8148-AC65-00EB-6099-A3B56EDAB69B}"/>
            </a:ext>
          </a:extLst>
        </xdr:cNvPr>
        <xdr:cNvSpPr/>
      </xdr:nvSpPr>
      <xdr:spPr>
        <a:xfrm>
          <a:off x="228600" y="1657350"/>
          <a:ext cx="3333750" cy="2771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209550</xdr:colOff>
      <xdr:row>8</xdr:row>
      <xdr:rowOff>95250</xdr:rowOff>
    </xdr:from>
    <xdr:to>
      <xdr:col>11</xdr:col>
      <xdr:colOff>400050</xdr:colOff>
      <xdr:row>23</xdr:row>
      <xdr:rowOff>66675</xdr:rowOff>
    </xdr:to>
    <xdr:sp macro="" textlink="">
      <xdr:nvSpPr>
        <xdr:cNvPr id="7" name="Rectangle 6">
          <a:extLst>
            <a:ext uri="{FF2B5EF4-FFF2-40B4-BE49-F238E27FC236}">
              <a16:creationId xmlns:a16="http://schemas.microsoft.com/office/drawing/2014/main" id="{055E2024-DED7-0A59-53C7-95B4FAA5B408}"/>
            </a:ext>
          </a:extLst>
        </xdr:cNvPr>
        <xdr:cNvSpPr/>
      </xdr:nvSpPr>
      <xdr:spPr>
        <a:xfrm>
          <a:off x="3867150" y="1619250"/>
          <a:ext cx="3238500" cy="2828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28575</xdr:colOff>
      <xdr:row>8</xdr:row>
      <xdr:rowOff>114301</xdr:rowOff>
    </xdr:from>
    <xdr:to>
      <xdr:col>17</xdr:col>
      <xdr:colOff>85725</xdr:colOff>
      <xdr:row>23</xdr:row>
      <xdr:rowOff>28575</xdr:rowOff>
    </xdr:to>
    <xdr:sp macro="" textlink="">
      <xdr:nvSpPr>
        <xdr:cNvPr id="8" name="Rectangle 7">
          <a:extLst>
            <a:ext uri="{FF2B5EF4-FFF2-40B4-BE49-F238E27FC236}">
              <a16:creationId xmlns:a16="http://schemas.microsoft.com/office/drawing/2014/main" id="{0427788B-176A-C0C3-31D9-CA9863D18A21}"/>
            </a:ext>
          </a:extLst>
        </xdr:cNvPr>
        <xdr:cNvSpPr/>
      </xdr:nvSpPr>
      <xdr:spPr>
        <a:xfrm>
          <a:off x="7343775" y="1638301"/>
          <a:ext cx="3105150" cy="27717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314326</xdr:colOff>
      <xdr:row>8</xdr:row>
      <xdr:rowOff>133350</xdr:rowOff>
    </xdr:from>
    <xdr:to>
      <xdr:col>23</xdr:col>
      <xdr:colOff>180976</xdr:colOff>
      <xdr:row>22</xdr:row>
      <xdr:rowOff>171450</xdr:rowOff>
    </xdr:to>
    <xdr:sp macro="" textlink="">
      <xdr:nvSpPr>
        <xdr:cNvPr id="9" name="Rectangle 8">
          <a:extLst>
            <a:ext uri="{FF2B5EF4-FFF2-40B4-BE49-F238E27FC236}">
              <a16:creationId xmlns:a16="http://schemas.microsoft.com/office/drawing/2014/main" id="{A0771FA3-7450-5949-EA7B-17EBA1018847}"/>
            </a:ext>
          </a:extLst>
        </xdr:cNvPr>
        <xdr:cNvSpPr/>
      </xdr:nvSpPr>
      <xdr:spPr>
        <a:xfrm>
          <a:off x="10677526" y="1657350"/>
          <a:ext cx="3524250" cy="2705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8</xdr:row>
      <xdr:rowOff>133350</xdr:rowOff>
    </xdr:from>
    <xdr:to>
      <xdr:col>5</xdr:col>
      <xdr:colOff>504825</xdr:colOff>
      <xdr:row>23</xdr:row>
      <xdr:rowOff>19050</xdr:rowOff>
    </xdr:to>
    <xdr:graphicFrame macro="">
      <xdr:nvGraphicFramePr>
        <xdr:cNvPr id="10" name="Chart 9">
          <a:extLst>
            <a:ext uri="{FF2B5EF4-FFF2-40B4-BE49-F238E27FC236}">
              <a16:creationId xmlns:a16="http://schemas.microsoft.com/office/drawing/2014/main" id="{AC7C8C9F-91BA-4C73-82B6-46D26CA52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209550</xdr:colOff>
      <xdr:row>23</xdr:row>
      <xdr:rowOff>30480</xdr:rowOff>
    </xdr:from>
    <xdr:to>
      <xdr:col>11</xdr:col>
      <xdr:colOff>371475</xdr:colOff>
      <xdr:row>23</xdr:row>
      <xdr:rowOff>76199</xdr:rowOff>
    </xdr:to>
    <xdr:graphicFrame macro="">
      <xdr:nvGraphicFramePr>
        <xdr:cNvPr id="11" name="Chart 10">
          <a:extLst>
            <a:ext uri="{FF2B5EF4-FFF2-40B4-BE49-F238E27FC236}">
              <a16:creationId xmlns:a16="http://schemas.microsoft.com/office/drawing/2014/main" id="{22CF77DB-67CD-43D8-B3DB-6F144291B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28575</xdr:colOff>
      <xdr:row>8</xdr:row>
      <xdr:rowOff>114301</xdr:rowOff>
    </xdr:from>
    <xdr:to>
      <xdr:col>18</xdr:col>
      <xdr:colOff>581025</xdr:colOff>
      <xdr:row>23</xdr:row>
      <xdr:rowOff>1</xdr:rowOff>
    </xdr:to>
    <xdr:graphicFrame macro="">
      <xdr:nvGraphicFramePr>
        <xdr:cNvPr id="12" name="Chart 11">
          <a:extLst>
            <a:ext uri="{FF2B5EF4-FFF2-40B4-BE49-F238E27FC236}">
              <a16:creationId xmlns:a16="http://schemas.microsoft.com/office/drawing/2014/main" id="{6CAC2594-BFD1-44BA-85E4-63B274F2B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28576</xdr:colOff>
      <xdr:row>8</xdr:row>
      <xdr:rowOff>95250</xdr:rowOff>
    </xdr:from>
    <xdr:to>
      <xdr:col>12</xdr:col>
      <xdr:colOff>219076</xdr:colOff>
      <xdr:row>22</xdr:row>
      <xdr:rowOff>171450</xdr:rowOff>
    </xdr:to>
    <xdr:graphicFrame macro="">
      <xdr:nvGraphicFramePr>
        <xdr:cNvPr id="13" name="Chart 12">
          <a:extLst>
            <a:ext uri="{FF2B5EF4-FFF2-40B4-BE49-F238E27FC236}">
              <a16:creationId xmlns:a16="http://schemas.microsoft.com/office/drawing/2014/main" id="{78B25A9D-1DFF-43BB-BE49-8444F486B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485775</xdr:colOff>
      <xdr:row>0</xdr:row>
      <xdr:rowOff>66675</xdr:rowOff>
    </xdr:from>
    <xdr:to>
      <xdr:col>18</xdr:col>
      <xdr:colOff>219075</xdr:colOff>
      <xdr:row>8</xdr:row>
      <xdr:rowOff>85725</xdr:rowOff>
    </xdr:to>
    <xdr:sp macro="" textlink="">
      <xdr:nvSpPr>
        <xdr:cNvPr id="14" name="Rectangle 13">
          <a:extLst>
            <a:ext uri="{FF2B5EF4-FFF2-40B4-BE49-F238E27FC236}">
              <a16:creationId xmlns:a16="http://schemas.microsoft.com/office/drawing/2014/main" id="{3C0FD96A-F09F-30B6-FA38-C34C7D559DE1}"/>
            </a:ext>
          </a:extLst>
        </xdr:cNvPr>
        <xdr:cNvSpPr/>
      </xdr:nvSpPr>
      <xdr:spPr>
        <a:xfrm>
          <a:off x="7800975" y="66675"/>
          <a:ext cx="3390900" cy="1543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485774</xdr:colOff>
      <xdr:row>0</xdr:row>
      <xdr:rowOff>66675</xdr:rowOff>
    </xdr:from>
    <xdr:to>
      <xdr:col>20</xdr:col>
      <xdr:colOff>228599</xdr:colOff>
      <xdr:row>8</xdr:row>
      <xdr:rowOff>76200</xdr:rowOff>
    </xdr:to>
    <xdr:graphicFrame macro="">
      <xdr:nvGraphicFramePr>
        <xdr:cNvPr id="15" name="Chart 14">
          <a:extLst>
            <a:ext uri="{FF2B5EF4-FFF2-40B4-BE49-F238E27FC236}">
              <a16:creationId xmlns:a16="http://schemas.microsoft.com/office/drawing/2014/main" id="{0F389BB1-BC25-455B-AA9E-BC4CE6801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209.47663391204" createdVersion="8" refreshedVersion="8" minRefreshableVersion="3" recordCount="300" xr:uid="{B0EC9308-B5C7-40C2-B880-D9EE3891A816}">
  <cacheSource type="worksheet">
    <worksheetSource name="sales_data_large"/>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800355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BAC0E6-691E-4792-92E4-2CD42477003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4:T14" firstHeaderRow="1" firstDataRow="2" firstDataCol="1"/>
  <pivotFields count="11">
    <pivotField showAll="0"/>
    <pivotField showAll="0"/>
    <pivotField axis="axisCol"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Fields count="1">
    <field x="2"/>
  </colFields>
  <colItems count="5">
    <i>
      <x/>
    </i>
    <i>
      <x v="1"/>
    </i>
    <i>
      <x v="2"/>
    </i>
    <i>
      <x v="3"/>
    </i>
    <i t="grand">
      <x/>
    </i>
  </colItems>
  <dataFields count="1">
    <dataField name="Sum of Total Sales" fld="8" baseField="0" baseItem="0"/>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14CB96-9AC6-48A8-B38C-60936C79AB4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H16" firstHeaderRow="1" firstDataRow="1" firstDataCol="1"/>
  <pivotFields count="11">
    <pivotField showAll="0"/>
    <pivotField showAll="0"/>
    <pivotField axis="axisRow" showAll="0">
      <items count="5">
        <item x="3"/>
        <item x="0"/>
        <item x="2"/>
        <item x="1"/>
        <item t="default"/>
      </items>
    </pivotField>
    <pivotField showAll="0"/>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3C088B-6E8D-4D16-B24D-67D4AC7E93B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1">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5">
    <chartFormat chart="2" format="10"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3" count="1" selected="0">
            <x v="0"/>
          </reference>
        </references>
      </pivotArea>
    </chartFormat>
    <chartFormat chart="2" format="16">
      <pivotArea type="data" outline="0" fieldPosition="0">
        <references count="2">
          <reference field="4294967294" count="1" selected="0">
            <x v="0"/>
          </reference>
          <reference field="3" count="1" selected="0">
            <x v="1"/>
          </reference>
        </references>
      </pivotArea>
    </chartFormat>
    <chartFormat chart="2" format="17">
      <pivotArea type="data" outline="0" fieldPosition="0">
        <references count="2">
          <reference field="4294967294" count="1" selected="0">
            <x v="0"/>
          </reference>
          <reference field="3" count="1" selected="0">
            <x v="2"/>
          </reference>
        </references>
      </pivotArea>
    </chartFormat>
    <chartFormat chart="2" format="18">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9FEF8F-B7F0-4180-B598-68C4AE4B147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8" firstHeaderRow="1" firstDataRow="1" firstDataCol="1"/>
  <pivotFields count="11">
    <pivotField showAll="0"/>
    <pivotField showAll="0"/>
    <pivotField axis="axisRow" showAll="0">
      <items count="5">
        <item x="3"/>
        <item x="0"/>
        <item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F8F38C-B734-4145-B55F-60F6C95E7A6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1:E22" firstHeaderRow="1" firstDataRow="1" firstDataCol="1"/>
  <pivotFields count="11">
    <pivotField showAll="0"/>
    <pivotField showAll="0"/>
    <pivotField showAll="0">
      <items count="5">
        <item x="3"/>
        <item x="0"/>
        <item x="2"/>
        <item x="1"/>
        <item t="default"/>
      </items>
    </pivotField>
    <pivotField showAll="0"/>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154786-F111-4D19-B67F-AD3965259DF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20" firstHeaderRow="1"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2CBFDB-A534-4612-95FC-21DCC30FF96E}"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3:E8" firstHeaderRow="1" firstDataRow="1" firstDataCol="1"/>
  <pivotFields count="11">
    <pivotField showAll="0"/>
    <pivotField showAll="0"/>
    <pivotField axis="axisRow" showAll="0">
      <items count="5">
        <item x="3"/>
        <item x="0"/>
        <item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7" type="dateBetween" evalOrder="-1" id="8" name="Date">
      <autoFilter ref="A1">
        <filterColumn colId="0">
          <customFilters and="1">
            <customFilter operator="greaterThanOrEqual" val="45170"/>
            <customFilter operator="lessThanOrEqual" val="4519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AF6FFC-1048-48F2-82AD-48462849CAE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7:J46" firstHeaderRow="0"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9">
    <i>
      <x/>
    </i>
    <i>
      <x v="1"/>
    </i>
    <i>
      <x v="2"/>
    </i>
    <i>
      <x v="3"/>
    </i>
    <i>
      <x v="4"/>
    </i>
    <i>
      <x v="5"/>
    </i>
    <i>
      <x v="6"/>
    </i>
    <i>
      <x v="7"/>
    </i>
    <i t="grand">
      <x/>
    </i>
  </rowItems>
  <colFields count="1">
    <field x="-2"/>
  </colFields>
  <colItems count="3">
    <i>
      <x/>
    </i>
    <i i="1">
      <x v="1"/>
    </i>
    <i i="2">
      <x v="2"/>
    </i>
  </colItems>
  <dataFields count="3">
    <dataField name="Sum of Quantity" fld="5" baseField="0" baseItem="0"/>
    <dataField name="Sum of Total Sales" fld="8"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A72FC8-1842-449E-BD74-CE0206057CD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3:I34" firstHeaderRow="0"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7"/>
  </rowFields>
  <rowItems count="11">
    <i>
      <x v="1"/>
    </i>
    <i>
      <x v="2"/>
    </i>
    <i>
      <x v="3"/>
    </i>
    <i>
      <x v="4"/>
    </i>
    <i>
      <x v="5"/>
    </i>
    <i>
      <x v="6"/>
    </i>
    <i>
      <x v="7"/>
    </i>
    <i>
      <x v="8"/>
    </i>
    <i>
      <x v="9"/>
    </i>
    <i>
      <x v="10"/>
    </i>
    <i t="grand">
      <x/>
    </i>
  </rowItems>
  <colFields count="1">
    <field x="-2"/>
  </colFields>
  <colItems count="2">
    <i>
      <x/>
    </i>
    <i i="1">
      <x v="1"/>
    </i>
  </colItems>
  <dataFields count="2">
    <dataField name="Sum of Total Sales" fld="8" baseField="0" baseItem="0"/>
    <dataField name="Sum of Profit" fld="9" baseField="0"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4" series="1">
      <pivotArea type="data" outline="0" fieldPosition="0">
        <references count="1">
          <reference field="4294967294" count="1" selected="0">
            <x v="0"/>
          </reference>
        </references>
      </pivotArea>
    </chartFormat>
    <chartFormat chart="3" format="25">
      <pivotArea type="data" outline="0" fieldPosition="0">
        <references count="2">
          <reference field="4294967294" count="1" selected="0">
            <x v="0"/>
          </reference>
          <reference field="10" count="1" selected="0">
            <x v="1"/>
          </reference>
        </references>
      </pivotArea>
    </chartFormat>
    <chartFormat chart="3" format="26">
      <pivotArea type="data" outline="0" fieldPosition="0">
        <references count="2">
          <reference field="4294967294" count="1" selected="0">
            <x v="0"/>
          </reference>
          <reference field="10" count="1" selected="0">
            <x v="2"/>
          </reference>
        </references>
      </pivotArea>
    </chartFormat>
    <chartFormat chart="3" format="27">
      <pivotArea type="data" outline="0" fieldPosition="0">
        <references count="2">
          <reference field="4294967294" count="1" selected="0">
            <x v="0"/>
          </reference>
          <reference field="10" count="1" selected="0">
            <x v="3"/>
          </reference>
        </references>
      </pivotArea>
    </chartFormat>
    <chartFormat chart="3" format="28">
      <pivotArea type="data" outline="0" fieldPosition="0">
        <references count="2">
          <reference field="4294967294" count="1" selected="0">
            <x v="0"/>
          </reference>
          <reference field="10" count="1" selected="0">
            <x v="4"/>
          </reference>
        </references>
      </pivotArea>
    </chartFormat>
    <chartFormat chart="3" format="29">
      <pivotArea type="data" outline="0" fieldPosition="0">
        <references count="2">
          <reference field="4294967294" count="1" selected="0">
            <x v="0"/>
          </reference>
          <reference field="10" count="1" selected="0">
            <x v="5"/>
          </reference>
        </references>
      </pivotArea>
    </chartFormat>
    <chartFormat chart="3" format="30">
      <pivotArea type="data" outline="0" fieldPosition="0">
        <references count="2">
          <reference field="4294967294" count="1" selected="0">
            <x v="0"/>
          </reference>
          <reference field="10" count="1" selected="0">
            <x v="6"/>
          </reference>
        </references>
      </pivotArea>
    </chartFormat>
    <chartFormat chart="3" format="31">
      <pivotArea type="data" outline="0" fieldPosition="0">
        <references count="2">
          <reference field="4294967294" count="1" selected="0">
            <x v="0"/>
          </reference>
          <reference field="10" count="1" selected="0">
            <x v="7"/>
          </reference>
        </references>
      </pivotArea>
    </chartFormat>
    <chartFormat chart="3" format="32">
      <pivotArea type="data" outline="0" fieldPosition="0">
        <references count="2">
          <reference field="4294967294" count="1" selected="0">
            <x v="0"/>
          </reference>
          <reference field="10" count="1" selected="0">
            <x v="8"/>
          </reference>
        </references>
      </pivotArea>
    </chartFormat>
    <chartFormat chart="3" format="33">
      <pivotArea type="data" outline="0" fieldPosition="0">
        <references count="2">
          <reference field="4294967294" count="1" selected="0">
            <x v="0"/>
          </reference>
          <reference field="10" count="1" selected="0">
            <x v="9"/>
          </reference>
        </references>
      </pivotArea>
    </chartFormat>
    <chartFormat chart="3" format="34">
      <pivotArea type="data" outline="0" fieldPosition="0">
        <references count="2">
          <reference field="4294967294" count="1" selected="0">
            <x v="0"/>
          </reference>
          <reference field="10" count="1" selected="0">
            <x v="10"/>
          </reference>
        </references>
      </pivotArea>
    </chartFormat>
    <chartFormat chart="3" format="35" series="1">
      <pivotArea type="data" outline="0" fieldPosition="0">
        <references count="1">
          <reference field="4294967294" count="1" selected="0">
            <x v="1"/>
          </reference>
        </references>
      </pivotArea>
    </chartFormat>
    <chartFormat chart="3" format="36">
      <pivotArea type="data" outline="0" fieldPosition="0">
        <references count="2">
          <reference field="4294967294" count="1" selected="0">
            <x v="1"/>
          </reference>
          <reference field="10" count="1" selected="0">
            <x v="1"/>
          </reference>
        </references>
      </pivotArea>
    </chartFormat>
    <chartFormat chart="3" format="37">
      <pivotArea type="data" outline="0" fieldPosition="0">
        <references count="2">
          <reference field="4294967294" count="1" selected="0">
            <x v="1"/>
          </reference>
          <reference field="10" count="1" selected="0">
            <x v="2"/>
          </reference>
        </references>
      </pivotArea>
    </chartFormat>
    <chartFormat chart="3" format="38">
      <pivotArea type="data" outline="0" fieldPosition="0">
        <references count="2">
          <reference field="4294967294" count="1" selected="0">
            <x v="1"/>
          </reference>
          <reference field="10" count="1" selected="0">
            <x v="3"/>
          </reference>
        </references>
      </pivotArea>
    </chartFormat>
    <chartFormat chart="3" format="39">
      <pivotArea type="data" outline="0" fieldPosition="0">
        <references count="2">
          <reference field="4294967294" count="1" selected="0">
            <x v="1"/>
          </reference>
          <reference field="10" count="1" selected="0">
            <x v="4"/>
          </reference>
        </references>
      </pivotArea>
    </chartFormat>
    <chartFormat chart="3" format="40">
      <pivotArea type="data" outline="0" fieldPosition="0">
        <references count="2">
          <reference field="4294967294" count="1" selected="0">
            <x v="1"/>
          </reference>
          <reference field="10" count="1" selected="0">
            <x v="5"/>
          </reference>
        </references>
      </pivotArea>
    </chartFormat>
    <chartFormat chart="3" format="41">
      <pivotArea type="data" outline="0" fieldPosition="0">
        <references count="2">
          <reference field="4294967294" count="1" selected="0">
            <x v="1"/>
          </reference>
          <reference field="10" count="1" selected="0">
            <x v="6"/>
          </reference>
        </references>
      </pivotArea>
    </chartFormat>
    <chartFormat chart="3" format="42">
      <pivotArea type="data" outline="0" fieldPosition="0">
        <references count="2">
          <reference field="4294967294" count="1" selected="0">
            <x v="1"/>
          </reference>
          <reference field="10" count="1" selected="0">
            <x v="7"/>
          </reference>
        </references>
      </pivotArea>
    </chartFormat>
    <chartFormat chart="3" format="43">
      <pivotArea type="data" outline="0" fieldPosition="0">
        <references count="2">
          <reference field="4294967294" count="1" selected="0">
            <x v="1"/>
          </reference>
          <reference field="10" count="1" selected="0">
            <x v="8"/>
          </reference>
        </references>
      </pivotArea>
    </chartFormat>
    <chartFormat chart="3" format="44">
      <pivotArea type="data" outline="0" fieldPosition="0">
        <references count="2">
          <reference field="4294967294" count="1" selected="0">
            <x v="1"/>
          </reference>
          <reference field="10" count="1" selected="0">
            <x v="9"/>
          </reference>
        </references>
      </pivotArea>
    </chartFormat>
    <chartFormat chart="3" format="45">
      <pivotArea type="data" outline="0" fieldPosition="0">
        <references count="2">
          <reference field="4294967294" count="1" selected="0">
            <x v="1"/>
          </reference>
          <reference field="10" count="1" selected="0">
            <x v="1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21EA21-DE53-4456-9A0C-A28B56665DC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J20" firstHeaderRow="0"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dataField="1" showAll="0"/>
    <pivotField showAll="0"/>
    <pivotField numFmtId="14" showAll="0"/>
    <pivotField dataField="1" showAll="0"/>
    <pivotField dataField="1" showAll="0"/>
    <pivotField showAll="0" defaultSubtotal="0"/>
  </pivotFields>
  <rowFields count="1">
    <field x="4"/>
  </rowFields>
  <rowItems count="9">
    <i>
      <x/>
    </i>
    <i>
      <x v="1"/>
    </i>
    <i>
      <x v="2"/>
    </i>
    <i>
      <x v="3"/>
    </i>
    <i>
      <x v="4"/>
    </i>
    <i>
      <x v="5"/>
    </i>
    <i>
      <x v="6"/>
    </i>
    <i>
      <x v="7"/>
    </i>
    <i t="grand">
      <x/>
    </i>
  </rowItems>
  <colFields count="1">
    <field x="-2"/>
  </colFields>
  <colItems count="3">
    <i>
      <x/>
    </i>
    <i i="1">
      <x v="1"/>
    </i>
    <i i="2">
      <x v="2"/>
    </i>
  </colItems>
  <dataFields count="3">
    <dataField name="Sum of Total Sales" fld="8" baseField="0" baseItem="0"/>
    <dataField name="Sum of Quantity" fld="5"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59F329-26B4-4267-84FA-AE4EA610EC7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8"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pivotField dataField="1" showAll="0"/>
    <pivotField showAll="0"/>
    <pivotField showAll="0" defaultSubtotal="0"/>
  </pivotFields>
  <rowFields count="1">
    <field x="2"/>
  </rowFields>
  <rowItems count="5">
    <i>
      <x/>
    </i>
    <i>
      <x v="1"/>
    </i>
    <i>
      <x v="2"/>
    </i>
    <i>
      <x v="3"/>
    </i>
    <i t="grand">
      <x/>
    </i>
  </rowItems>
  <colItems count="1">
    <i/>
  </colItems>
  <dataFields count="1">
    <dataField name="Sum of Total Sales" fld="8"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58D07E-3760-46B7-9873-B5643536E03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2" firstHeaderRow="0"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9">
    <i>
      <x/>
    </i>
    <i>
      <x v="1"/>
    </i>
    <i>
      <x v="2"/>
    </i>
    <i>
      <x v="3"/>
    </i>
    <i>
      <x v="4"/>
    </i>
    <i>
      <x v="5"/>
    </i>
    <i>
      <x v="6"/>
    </i>
    <i>
      <x v="7"/>
    </i>
    <i t="grand">
      <x/>
    </i>
  </rowItems>
  <colFields count="1">
    <field x="-2"/>
  </colFields>
  <colItems count="3">
    <i>
      <x/>
    </i>
    <i i="1">
      <x v="1"/>
    </i>
    <i i="2">
      <x v="2"/>
    </i>
  </colItems>
  <dataFields count="3">
    <dataField name="Sum of Quantity" fld="5" baseField="0" baseItem="0"/>
    <dataField name="Sum of Total Sales" fld="8" baseField="0" baseItem="0"/>
    <dataField name="Sum of Profit" fld="9" baseField="0" baseItem="0"/>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46" series="1">
      <pivotArea type="data" outline="0" fieldPosition="0">
        <references count="1">
          <reference field="4294967294" count="1" selected="0">
            <x v="0"/>
          </reference>
        </references>
      </pivotArea>
    </chartFormat>
    <chartFormat chart="2" format="47">
      <pivotArea type="data" outline="0" fieldPosition="0">
        <references count="2">
          <reference field="4294967294" count="1" selected="0">
            <x v="0"/>
          </reference>
          <reference field="4" count="1" selected="0">
            <x v="0"/>
          </reference>
        </references>
      </pivotArea>
    </chartFormat>
    <chartFormat chart="2" format="48">
      <pivotArea type="data" outline="0" fieldPosition="0">
        <references count="2">
          <reference field="4294967294" count="1" selected="0">
            <x v="0"/>
          </reference>
          <reference field="4" count="1" selected="0">
            <x v="1"/>
          </reference>
        </references>
      </pivotArea>
    </chartFormat>
    <chartFormat chart="2" format="49">
      <pivotArea type="data" outline="0" fieldPosition="0">
        <references count="2">
          <reference field="4294967294" count="1" selected="0">
            <x v="0"/>
          </reference>
          <reference field="4" count="1" selected="0">
            <x v="2"/>
          </reference>
        </references>
      </pivotArea>
    </chartFormat>
    <chartFormat chart="2" format="50">
      <pivotArea type="data" outline="0" fieldPosition="0">
        <references count="2">
          <reference field="4294967294" count="1" selected="0">
            <x v="0"/>
          </reference>
          <reference field="4" count="1" selected="0">
            <x v="3"/>
          </reference>
        </references>
      </pivotArea>
    </chartFormat>
    <chartFormat chart="2" format="51">
      <pivotArea type="data" outline="0" fieldPosition="0">
        <references count="2">
          <reference field="4294967294" count="1" selected="0">
            <x v="0"/>
          </reference>
          <reference field="4" count="1" selected="0">
            <x v="4"/>
          </reference>
        </references>
      </pivotArea>
    </chartFormat>
    <chartFormat chart="2" format="52">
      <pivotArea type="data" outline="0" fieldPosition="0">
        <references count="2">
          <reference field="4294967294" count="1" selected="0">
            <x v="0"/>
          </reference>
          <reference field="4" count="1" selected="0">
            <x v="5"/>
          </reference>
        </references>
      </pivotArea>
    </chartFormat>
    <chartFormat chart="2" format="53">
      <pivotArea type="data" outline="0" fieldPosition="0">
        <references count="2">
          <reference field="4294967294" count="1" selected="0">
            <x v="0"/>
          </reference>
          <reference field="4" count="1" selected="0">
            <x v="6"/>
          </reference>
        </references>
      </pivotArea>
    </chartFormat>
    <chartFormat chart="2" format="54">
      <pivotArea type="data" outline="0" fieldPosition="0">
        <references count="2">
          <reference field="4294967294" count="1" selected="0">
            <x v="0"/>
          </reference>
          <reference field="4" count="1" selected="0">
            <x v="7"/>
          </reference>
        </references>
      </pivotArea>
    </chartFormat>
    <chartFormat chart="2" format="55" series="1">
      <pivotArea type="data" outline="0" fieldPosition="0">
        <references count="1">
          <reference field="4294967294" count="1" selected="0">
            <x v="1"/>
          </reference>
        </references>
      </pivotArea>
    </chartFormat>
    <chartFormat chart="2" format="56">
      <pivotArea type="data" outline="0" fieldPosition="0">
        <references count="2">
          <reference field="4294967294" count="1" selected="0">
            <x v="1"/>
          </reference>
          <reference field="4" count="1" selected="0">
            <x v="0"/>
          </reference>
        </references>
      </pivotArea>
    </chartFormat>
    <chartFormat chart="2" format="57">
      <pivotArea type="data" outline="0" fieldPosition="0">
        <references count="2">
          <reference field="4294967294" count="1" selected="0">
            <x v="1"/>
          </reference>
          <reference field="4" count="1" selected="0">
            <x v="1"/>
          </reference>
        </references>
      </pivotArea>
    </chartFormat>
    <chartFormat chart="2" format="58">
      <pivotArea type="data" outline="0" fieldPosition="0">
        <references count="2">
          <reference field="4294967294" count="1" selected="0">
            <x v="1"/>
          </reference>
          <reference field="4" count="1" selected="0">
            <x v="2"/>
          </reference>
        </references>
      </pivotArea>
    </chartFormat>
    <chartFormat chart="2" format="59">
      <pivotArea type="data" outline="0" fieldPosition="0">
        <references count="2">
          <reference field="4294967294" count="1" selected="0">
            <x v="1"/>
          </reference>
          <reference field="4" count="1" selected="0">
            <x v="3"/>
          </reference>
        </references>
      </pivotArea>
    </chartFormat>
    <chartFormat chart="2" format="60">
      <pivotArea type="data" outline="0" fieldPosition="0">
        <references count="2">
          <reference field="4294967294" count="1" selected="0">
            <x v="1"/>
          </reference>
          <reference field="4" count="1" selected="0">
            <x v="4"/>
          </reference>
        </references>
      </pivotArea>
    </chartFormat>
    <chartFormat chart="2" format="61">
      <pivotArea type="data" outline="0" fieldPosition="0">
        <references count="2">
          <reference field="4294967294" count="1" selected="0">
            <x v="1"/>
          </reference>
          <reference field="4" count="1" selected="0">
            <x v="5"/>
          </reference>
        </references>
      </pivotArea>
    </chartFormat>
    <chartFormat chart="2" format="62">
      <pivotArea type="data" outline="0" fieldPosition="0">
        <references count="2">
          <reference field="4294967294" count="1" selected="0">
            <x v="1"/>
          </reference>
          <reference field="4" count="1" selected="0">
            <x v="6"/>
          </reference>
        </references>
      </pivotArea>
    </chartFormat>
    <chartFormat chart="2" format="63">
      <pivotArea type="data" outline="0" fieldPosition="0">
        <references count="2">
          <reference field="4294967294" count="1" selected="0">
            <x v="1"/>
          </reference>
          <reference field="4" count="1" selected="0">
            <x v="7"/>
          </reference>
        </references>
      </pivotArea>
    </chartFormat>
    <chartFormat chart="2" format="64" series="1">
      <pivotArea type="data" outline="0" fieldPosition="0">
        <references count="1">
          <reference field="4294967294"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41ECC8-FB09-4FBF-92A4-773A017B18B0}" sourceName="Region">
  <pivotTables>
    <pivotTable tabId="17" name="PivotTable2"/>
    <pivotTable tabId="17" name="PivotTable1"/>
    <pivotTable tabId="17" name="PivotTable3"/>
    <pivotTable tabId="17" name="PivotTable4"/>
    <pivotTable tabId="17" name="PivotTable5"/>
    <pivotTable tabId="17" name="PivotTable6"/>
    <pivotTable tabId="17" name="PivotTable7"/>
  </pivotTables>
  <data>
    <tabular pivotCacheId="1800355275">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FCCB877-C978-41A8-9D86-519E42E256C4}" cache="Slicer_Region" caption="Region" columnCount="2" style="Slicer Style 3"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J301" tableType="queryTable" totalsRowShown="0">
  <autoFilter ref="A1:J301" xr:uid="{D8DB1535-FC72-471B-A301-568A25A6FAD8}"/>
  <tableColumns count="10">
    <tableColumn id="10" xr3:uid="{56DEBF39-5F6A-4053-BECC-B48E145CD1AB}" uniqueName="10" name="Customer ID" queryTableFieldId="10" dataDxfId="5"/>
    <tableColumn id="1" xr3:uid="{7D5C7BF1-0C6D-4C31-8419-27A8921ABDB6}" uniqueName="1" name="Customer Name" queryTableFieldId="1" dataDxfId="4"/>
    <tableColumn id="2" xr3:uid="{F357EFF3-0D46-44CE-895F-6E617FA24B4B}" uniqueName="2" name="Region" queryTableFieldId="2" dataDxfId="3"/>
    <tableColumn id="3" xr3:uid="{E70AAE54-A7C7-4163-B235-801B7A2270B5}" uniqueName="3" name="Category" queryTableFieldId="3" dataDxfId="2"/>
    <tableColumn id="4" xr3:uid="{EE17A65A-04A3-40B0-8808-59FF7F9CB856}" uniqueName="4" name="Product" queryTableFieldId="4" dataDxfId="1"/>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0"/>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6AC2C-9E4F-470A-A2E7-A22763A94F8B}">
  <dimension ref="A3:T22"/>
  <sheetViews>
    <sheetView topLeftCell="I1" workbookViewId="0">
      <selection activeCell="Q4" sqref="Q4"/>
    </sheetView>
  </sheetViews>
  <sheetFormatPr defaultRowHeight="15" x14ac:dyDescent="0.25"/>
  <cols>
    <col min="1" max="1" width="13.140625" bestFit="1" customWidth="1"/>
    <col min="2" max="2" width="17.28515625" bestFit="1" customWidth="1"/>
    <col min="4" max="4" width="13.140625" bestFit="1" customWidth="1"/>
    <col min="5" max="5" width="17.28515625" bestFit="1" customWidth="1"/>
    <col min="7" max="7" width="13.140625" bestFit="1" customWidth="1"/>
    <col min="8" max="8" width="15.42578125" bestFit="1" customWidth="1"/>
    <col min="11" max="11" width="10.85546875" bestFit="1" customWidth="1"/>
    <col min="12" max="12" width="9" bestFit="1" customWidth="1"/>
    <col min="15" max="15" width="17.28515625" bestFit="1" customWidth="1"/>
    <col min="16" max="16" width="16.28515625" bestFit="1" customWidth="1"/>
    <col min="17" max="17" width="9" bestFit="1" customWidth="1"/>
    <col min="18" max="18" width="8" bestFit="1" customWidth="1"/>
    <col min="19" max="19" width="9" bestFit="1" customWidth="1"/>
    <col min="20" max="20" width="11.28515625" bestFit="1" customWidth="1"/>
  </cols>
  <sheetData>
    <row r="3" spans="1:20" x14ac:dyDescent="0.25">
      <c r="A3" s="3" t="s">
        <v>51</v>
      </c>
      <c r="B3" t="s">
        <v>48</v>
      </c>
      <c r="D3" s="3" t="s">
        <v>51</v>
      </c>
      <c r="E3" t="s">
        <v>48</v>
      </c>
      <c r="G3" s="3" t="s">
        <v>51</v>
      </c>
      <c r="H3" t="s">
        <v>46</v>
      </c>
    </row>
    <row r="4" spans="1:20" x14ac:dyDescent="0.25">
      <c r="A4" s="4" t="s">
        <v>8</v>
      </c>
      <c r="B4" s="1">
        <v>7639824</v>
      </c>
      <c r="D4" s="4" t="s">
        <v>23</v>
      </c>
      <c r="E4" s="1">
        <v>7492569</v>
      </c>
      <c r="G4" s="4" t="s">
        <v>23</v>
      </c>
      <c r="H4" s="1">
        <v>317371.19999999984</v>
      </c>
      <c r="K4" s="5" t="s">
        <v>44</v>
      </c>
      <c r="L4" s="6">
        <f>GETPIVOTDATA("Total Sales",$D$3)</f>
        <v>37227091</v>
      </c>
      <c r="O4" s="3" t="s">
        <v>48</v>
      </c>
      <c r="P4" s="3" t="s">
        <v>53</v>
      </c>
    </row>
    <row r="5" spans="1:20" x14ac:dyDescent="0.25">
      <c r="A5" s="4" t="s">
        <v>12</v>
      </c>
      <c r="B5" s="1">
        <v>7896972</v>
      </c>
      <c r="D5" s="4" t="s">
        <v>7</v>
      </c>
      <c r="E5" s="1">
        <v>10716184</v>
      </c>
      <c r="G5" s="4" t="s">
        <v>7</v>
      </c>
      <c r="H5" s="1">
        <v>415591.40000000008</v>
      </c>
      <c r="K5" s="5" t="s">
        <v>43</v>
      </c>
      <c r="L5" s="6">
        <f>GETPIVOTDATA("Profit",$G$3)</f>
        <v>1532557</v>
      </c>
      <c r="O5" s="3" t="s">
        <v>51</v>
      </c>
      <c r="P5" t="s">
        <v>23</v>
      </c>
      <c r="Q5" t="s">
        <v>7</v>
      </c>
      <c r="R5" t="s">
        <v>20</v>
      </c>
      <c r="S5" t="s">
        <v>11</v>
      </c>
      <c r="T5" t="s">
        <v>32</v>
      </c>
    </row>
    <row r="6" spans="1:20" x14ac:dyDescent="0.25">
      <c r="A6" s="4" t="s">
        <v>18</v>
      </c>
      <c r="B6" s="1">
        <v>12943334</v>
      </c>
      <c r="D6" s="4" t="s">
        <v>20</v>
      </c>
      <c r="E6" s="1">
        <v>8149763</v>
      </c>
      <c r="G6" s="4" t="s">
        <v>20</v>
      </c>
      <c r="H6" s="1">
        <v>369859.39999999997</v>
      </c>
      <c r="K6" s="5" t="s">
        <v>52</v>
      </c>
      <c r="L6" s="6">
        <f>GETPIVOTDATA("Quantity",$G$11)</f>
        <v>1479</v>
      </c>
      <c r="O6" s="4" t="s">
        <v>19</v>
      </c>
      <c r="P6" s="1">
        <v>619581</v>
      </c>
      <c r="Q6" s="1">
        <v>1249590</v>
      </c>
      <c r="R6" s="1">
        <v>521854</v>
      </c>
      <c r="S6" s="1">
        <v>1020793</v>
      </c>
      <c r="T6" s="1">
        <v>3411818</v>
      </c>
    </row>
    <row r="7" spans="1:20" x14ac:dyDescent="0.25">
      <c r="A7" s="4" t="s">
        <v>15</v>
      </c>
      <c r="B7" s="1">
        <v>8746961</v>
      </c>
      <c r="D7" s="4" t="s">
        <v>11</v>
      </c>
      <c r="E7" s="1">
        <v>10868575</v>
      </c>
      <c r="G7" s="4" t="s">
        <v>11</v>
      </c>
      <c r="H7" s="1">
        <v>429735.00000000017</v>
      </c>
      <c r="O7" s="4" t="s">
        <v>16</v>
      </c>
      <c r="P7" s="1">
        <v>656318</v>
      </c>
      <c r="Q7" s="1">
        <v>1783712</v>
      </c>
      <c r="R7" s="1">
        <v>1311833</v>
      </c>
      <c r="S7" s="1">
        <v>915048</v>
      </c>
      <c r="T7" s="1">
        <v>4666911</v>
      </c>
    </row>
    <row r="8" spans="1:20" x14ac:dyDescent="0.25">
      <c r="A8" s="4" t="s">
        <v>32</v>
      </c>
      <c r="B8" s="1">
        <v>37227091</v>
      </c>
      <c r="D8" s="4" t="s">
        <v>32</v>
      </c>
      <c r="E8" s="1">
        <v>37227091</v>
      </c>
      <c r="G8" s="4" t="s">
        <v>32</v>
      </c>
      <c r="H8" s="1">
        <v>1532557</v>
      </c>
      <c r="O8" s="4" t="s">
        <v>25</v>
      </c>
      <c r="P8" s="1">
        <v>1963626</v>
      </c>
      <c r="Q8" s="1">
        <v>859982</v>
      </c>
      <c r="R8" s="1">
        <v>713773</v>
      </c>
      <c r="S8" s="1">
        <v>1078250</v>
      </c>
      <c r="T8" s="1">
        <v>4615631</v>
      </c>
    </row>
    <row r="9" spans="1:20" x14ac:dyDescent="0.25">
      <c r="O9" s="4" t="s">
        <v>29</v>
      </c>
      <c r="P9" s="1">
        <v>561541</v>
      </c>
      <c r="Q9" s="1">
        <v>742353</v>
      </c>
      <c r="R9" s="1">
        <v>1212060</v>
      </c>
      <c r="S9" s="1">
        <v>1786525</v>
      </c>
      <c r="T9" s="1">
        <v>4302479</v>
      </c>
    </row>
    <row r="10" spans="1:20" x14ac:dyDescent="0.25">
      <c r="O10" s="4" t="s">
        <v>27</v>
      </c>
      <c r="P10" s="1">
        <v>882968</v>
      </c>
      <c r="Q10" s="1">
        <v>2032219</v>
      </c>
      <c r="R10" s="1">
        <v>1068363</v>
      </c>
      <c r="S10" s="1">
        <v>836565</v>
      </c>
      <c r="T10" s="1">
        <v>4820115</v>
      </c>
    </row>
    <row r="11" spans="1:20" x14ac:dyDescent="0.25">
      <c r="A11" s="3" t="s">
        <v>51</v>
      </c>
      <c r="B11" t="s">
        <v>48</v>
      </c>
      <c r="D11" s="3" t="s">
        <v>51</v>
      </c>
      <c r="E11" t="s">
        <v>48</v>
      </c>
      <c r="G11" s="3" t="s">
        <v>51</v>
      </c>
      <c r="H11" t="s">
        <v>45</v>
      </c>
      <c r="O11" s="4" t="s">
        <v>24</v>
      </c>
      <c r="P11" s="1">
        <v>1098154</v>
      </c>
      <c r="Q11" s="1">
        <v>1044135</v>
      </c>
      <c r="R11" s="1">
        <v>922921</v>
      </c>
      <c r="S11" s="1">
        <v>1840214</v>
      </c>
      <c r="T11" s="1">
        <v>4905424</v>
      </c>
    </row>
    <row r="12" spans="1:20" x14ac:dyDescent="0.25">
      <c r="A12" s="4" t="s">
        <v>19</v>
      </c>
      <c r="B12" s="1">
        <v>3411818</v>
      </c>
      <c r="D12" s="4" t="s">
        <v>33</v>
      </c>
      <c r="E12" s="1">
        <v>4046530</v>
      </c>
      <c r="G12" s="4" t="s">
        <v>23</v>
      </c>
      <c r="H12" s="1">
        <v>307</v>
      </c>
      <c r="O12" s="4" t="s">
        <v>9</v>
      </c>
      <c r="P12" s="1">
        <v>1120178</v>
      </c>
      <c r="Q12" s="1">
        <v>1694326</v>
      </c>
      <c r="R12" s="1">
        <v>1198928</v>
      </c>
      <c r="S12" s="1">
        <v>1892828</v>
      </c>
      <c r="T12" s="1">
        <v>5906260</v>
      </c>
    </row>
    <row r="13" spans="1:20" x14ac:dyDescent="0.25">
      <c r="A13" s="4" t="s">
        <v>16</v>
      </c>
      <c r="B13" s="1">
        <v>4666911</v>
      </c>
      <c r="D13" s="4" t="s">
        <v>34</v>
      </c>
      <c r="E13" s="1">
        <v>3464433</v>
      </c>
      <c r="G13" s="4" t="s">
        <v>7</v>
      </c>
      <c r="H13" s="1">
        <v>393</v>
      </c>
      <c r="O13" s="4" t="s">
        <v>13</v>
      </c>
      <c r="P13" s="1">
        <v>590203</v>
      </c>
      <c r="Q13" s="1">
        <v>1309867</v>
      </c>
      <c r="R13" s="1">
        <v>1200031</v>
      </c>
      <c r="S13" s="1">
        <v>1498352</v>
      </c>
      <c r="T13" s="1">
        <v>4598453</v>
      </c>
    </row>
    <row r="14" spans="1:20" x14ac:dyDescent="0.25">
      <c r="A14" s="4" t="s">
        <v>25</v>
      </c>
      <c r="B14" s="1">
        <v>4615631</v>
      </c>
      <c r="D14" s="4" t="s">
        <v>35</v>
      </c>
      <c r="E14" s="1">
        <v>3715672</v>
      </c>
      <c r="G14" s="4" t="s">
        <v>20</v>
      </c>
      <c r="H14" s="1">
        <v>363</v>
      </c>
      <c r="O14" s="4" t="s">
        <v>32</v>
      </c>
      <c r="P14" s="1">
        <v>7492569</v>
      </c>
      <c r="Q14" s="1">
        <v>10716184</v>
      </c>
      <c r="R14" s="1">
        <v>8149763</v>
      </c>
      <c r="S14" s="1">
        <v>10868575</v>
      </c>
      <c r="T14" s="1">
        <v>37227091</v>
      </c>
    </row>
    <row r="15" spans="1:20" x14ac:dyDescent="0.25">
      <c r="A15" s="4" t="s">
        <v>29</v>
      </c>
      <c r="B15" s="1">
        <v>4302479</v>
      </c>
      <c r="D15" s="4" t="s">
        <v>36</v>
      </c>
      <c r="E15" s="1">
        <v>3300867</v>
      </c>
      <c r="G15" s="4" t="s">
        <v>11</v>
      </c>
      <c r="H15" s="1">
        <v>416</v>
      </c>
    </row>
    <row r="16" spans="1:20" x14ac:dyDescent="0.25">
      <c r="A16" s="4" t="s">
        <v>27</v>
      </c>
      <c r="B16" s="1">
        <v>4820115</v>
      </c>
      <c r="D16" s="4" t="s">
        <v>37</v>
      </c>
      <c r="E16" s="1">
        <v>4461095</v>
      </c>
      <c r="G16" s="4" t="s">
        <v>32</v>
      </c>
      <c r="H16" s="1">
        <v>1479</v>
      </c>
    </row>
    <row r="17" spans="1:5" x14ac:dyDescent="0.25">
      <c r="A17" s="4" t="s">
        <v>24</v>
      </c>
      <c r="B17" s="1">
        <v>4905424</v>
      </c>
      <c r="D17" s="4" t="s">
        <v>38</v>
      </c>
      <c r="E17" s="1">
        <v>3463484</v>
      </c>
    </row>
    <row r="18" spans="1:5" x14ac:dyDescent="0.25">
      <c r="A18" s="4" t="s">
        <v>9</v>
      </c>
      <c r="B18" s="1">
        <v>5906260</v>
      </c>
      <c r="D18" s="4" t="s">
        <v>39</v>
      </c>
      <c r="E18" s="1">
        <v>3323401</v>
      </c>
    </row>
    <row r="19" spans="1:5" x14ac:dyDescent="0.25">
      <c r="A19" s="4" t="s">
        <v>13</v>
      </c>
      <c r="B19" s="1">
        <v>4598453</v>
      </c>
      <c r="D19" s="4" t="s">
        <v>40</v>
      </c>
      <c r="E19" s="1">
        <v>4289705</v>
      </c>
    </row>
    <row r="20" spans="1:5" x14ac:dyDescent="0.25">
      <c r="A20" s="4" t="s">
        <v>32</v>
      </c>
      <c r="B20" s="1">
        <v>37227091</v>
      </c>
      <c r="D20" s="4" t="s">
        <v>41</v>
      </c>
      <c r="E20" s="1">
        <v>3898469</v>
      </c>
    </row>
    <row r="21" spans="1:5" x14ac:dyDescent="0.25">
      <c r="D21" s="4" t="s">
        <v>42</v>
      </c>
      <c r="E21" s="1">
        <v>3263435</v>
      </c>
    </row>
    <row r="22" spans="1:5" x14ac:dyDescent="0.25">
      <c r="D22" s="4" t="s">
        <v>32</v>
      </c>
      <c r="E22" s="1">
        <v>37227091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97F16-DCE8-456D-9BC6-D6B773629F31}">
  <dimension ref="A1"/>
  <sheetViews>
    <sheetView showGridLines="0" zoomScale="70" zoomScaleNormal="70" workbookViewId="0">
      <selection activeCell="F7" sqref="F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0B70-ADE6-4CFE-9F25-DAD7CCBC9FB7}">
  <dimension ref="A3:J46"/>
  <sheetViews>
    <sheetView topLeftCell="A13" workbookViewId="0">
      <selection activeCell="G23" sqref="G23:I33"/>
    </sheetView>
  </sheetViews>
  <sheetFormatPr defaultRowHeight="15" x14ac:dyDescent="0.25"/>
  <cols>
    <col min="1" max="1" width="13.140625" bestFit="1" customWidth="1"/>
    <col min="2" max="2" width="15.42578125" bestFit="1" customWidth="1"/>
    <col min="3" max="3" width="17.28515625" bestFit="1" customWidth="1"/>
    <col min="4" max="4" width="12.5703125" bestFit="1" customWidth="1"/>
  </cols>
  <sheetData>
    <row r="3" spans="1:10" x14ac:dyDescent="0.25">
      <c r="A3" s="3" t="s">
        <v>51</v>
      </c>
      <c r="B3" t="s">
        <v>45</v>
      </c>
      <c r="C3" t="s">
        <v>48</v>
      </c>
      <c r="D3" t="s">
        <v>46</v>
      </c>
      <c r="G3" s="3" t="s">
        <v>51</v>
      </c>
      <c r="H3" t="s">
        <v>48</v>
      </c>
    </row>
    <row r="4" spans="1:10" x14ac:dyDescent="0.25">
      <c r="A4" s="4" t="s">
        <v>19</v>
      </c>
      <c r="B4" s="1">
        <v>139</v>
      </c>
      <c r="C4" s="1">
        <v>3411818</v>
      </c>
      <c r="D4" s="1">
        <v>158415.20000000001</v>
      </c>
      <c r="G4" s="4" t="s">
        <v>23</v>
      </c>
      <c r="H4" s="1">
        <v>7492569</v>
      </c>
    </row>
    <row r="5" spans="1:10" x14ac:dyDescent="0.25">
      <c r="A5" s="4" t="s">
        <v>16</v>
      </c>
      <c r="B5" s="1">
        <v>189</v>
      </c>
      <c r="C5" s="1">
        <v>4666911</v>
      </c>
      <c r="D5" s="1">
        <v>222017.6</v>
      </c>
      <c r="G5" s="4" t="s">
        <v>7</v>
      </c>
      <c r="H5" s="1">
        <v>10716184</v>
      </c>
    </row>
    <row r="6" spans="1:10" x14ac:dyDescent="0.25">
      <c r="A6" s="4" t="s">
        <v>25</v>
      </c>
      <c r="B6" s="1">
        <v>203</v>
      </c>
      <c r="C6" s="1">
        <v>4615631</v>
      </c>
      <c r="D6" s="1">
        <v>181844</v>
      </c>
      <c r="G6" s="4" t="s">
        <v>20</v>
      </c>
      <c r="H6" s="1">
        <v>8149763</v>
      </c>
    </row>
    <row r="7" spans="1:10" x14ac:dyDescent="0.25">
      <c r="A7" s="4" t="s">
        <v>29</v>
      </c>
      <c r="B7" s="1">
        <v>170</v>
      </c>
      <c r="C7" s="1">
        <v>4302479</v>
      </c>
      <c r="D7" s="1">
        <v>164794.79999999999</v>
      </c>
      <c r="G7" s="4" t="s">
        <v>11</v>
      </c>
      <c r="H7" s="1">
        <v>10868575</v>
      </c>
    </row>
    <row r="8" spans="1:10" x14ac:dyDescent="0.25">
      <c r="A8" s="4" t="s">
        <v>27</v>
      </c>
      <c r="B8" s="1">
        <v>174</v>
      </c>
      <c r="C8" s="1">
        <v>4820115</v>
      </c>
      <c r="D8" s="1">
        <v>193009.99999999997</v>
      </c>
      <c r="G8" s="4" t="s">
        <v>32</v>
      </c>
      <c r="H8" s="1">
        <v>37227091</v>
      </c>
    </row>
    <row r="9" spans="1:10" x14ac:dyDescent="0.25">
      <c r="A9" s="4" t="s">
        <v>24</v>
      </c>
      <c r="B9" s="1">
        <v>224</v>
      </c>
      <c r="C9" s="1">
        <v>4905424</v>
      </c>
      <c r="D9" s="1">
        <v>202137.99999999997</v>
      </c>
    </row>
    <row r="10" spans="1:10" x14ac:dyDescent="0.25">
      <c r="A10" s="4" t="s">
        <v>9</v>
      </c>
      <c r="B10" s="1">
        <v>201</v>
      </c>
      <c r="C10" s="1">
        <v>5906260</v>
      </c>
      <c r="D10" s="1">
        <v>240553.60000000003</v>
      </c>
    </row>
    <row r="11" spans="1:10" x14ac:dyDescent="0.25">
      <c r="A11" s="4" t="s">
        <v>13</v>
      </c>
      <c r="B11" s="1">
        <v>179</v>
      </c>
      <c r="C11" s="1">
        <v>4598453</v>
      </c>
      <c r="D11" s="1">
        <v>169783.80000000002</v>
      </c>
      <c r="G11" s="3" t="s">
        <v>51</v>
      </c>
      <c r="H11" s="3" t="s">
        <v>48</v>
      </c>
      <c r="I11" t="s">
        <v>45</v>
      </c>
      <c r="J11" t="s">
        <v>46</v>
      </c>
    </row>
    <row r="12" spans="1:10" x14ac:dyDescent="0.25">
      <c r="A12" s="4" t="s">
        <v>32</v>
      </c>
      <c r="B12" s="1">
        <v>1479</v>
      </c>
      <c r="C12" s="1">
        <v>37227091</v>
      </c>
      <c r="D12" s="1">
        <v>1532557.0000000002</v>
      </c>
      <c r="G12" s="4" t="s">
        <v>19</v>
      </c>
      <c r="H12" s="1">
        <v>3411818</v>
      </c>
      <c r="I12" s="1">
        <v>139</v>
      </c>
      <c r="J12" s="1">
        <v>158415.20000000001</v>
      </c>
    </row>
    <row r="13" spans="1:10" x14ac:dyDescent="0.25">
      <c r="G13" s="4" t="s">
        <v>16</v>
      </c>
      <c r="H13" s="1">
        <v>4666911</v>
      </c>
      <c r="I13" s="1">
        <v>189</v>
      </c>
      <c r="J13" s="1">
        <v>222017.6</v>
      </c>
    </row>
    <row r="14" spans="1:10" x14ac:dyDescent="0.25">
      <c r="G14" s="4" t="s">
        <v>25</v>
      </c>
      <c r="H14" s="1">
        <v>4615631</v>
      </c>
      <c r="I14" s="1">
        <v>203</v>
      </c>
      <c r="J14" s="1">
        <v>181844</v>
      </c>
    </row>
    <row r="15" spans="1:10" x14ac:dyDescent="0.25">
      <c r="G15" s="4" t="s">
        <v>29</v>
      </c>
      <c r="H15" s="1">
        <v>4302479</v>
      </c>
      <c r="I15" s="1">
        <v>170</v>
      </c>
      <c r="J15" s="1">
        <v>164794.79999999999</v>
      </c>
    </row>
    <row r="16" spans="1:10" x14ac:dyDescent="0.25">
      <c r="G16" s="4" t="s">
        <v>27</v>
      </c>
      <c r="H16" s="1">
        <v>4820115</v>
      </c>
      <c r="I16" s="1">
        <v>174</v>
      </c>
      <c r="J16" s="1">
        <v>193009.99999999997</v>
      </c>
    </row>
    <row r="17" spans="7:10" x14ac:dyDescent="0.25">
      <c r="G17" s="4" t="s">
        <v>24</v>
      </c>
      <c r="H17" s="1">
        <v>4905424</v>
      </c>
      <c r="I17" s="1">
        <v>224</v>
      </c>
      <c r="J17" s="1">
        <v>202137.99999999997</v>
      </c>
    </row>
    <row r="18" spans="7:10" x14ac:dyDescent="0.25">
      <c r="G18" s="4" t="s">
        <v>9</v>
      </c>
      <c r="H18" s="1">
        <v>5906260</v>
      </c>
      <c r="I18" s="1">
        <v>201</v>
      </c>
      <c r="J18" s="1">
        <v>240553.60000000003</v>
      </c>
    </row>
    <row r="19" spans="7:10" x14ac:dyDescent="0.25">
      <c r="G19" s="4" t="s">
        <v>13</v>
      </c>
      <c r="H19" s="1">
        <v>4598453</v>
      </c>
      <c r="I19" s="1">
        <v>179</v>
      </c>
      <c r="J19" s="1">
        <v>169783.80000000002</v>
      </c>
    </row>
    <row r="20" spans="7:10" x14ac:dyDescent="0.25">
      <c r="G20" s="4" t="s">
        <v>32</v>
      </c>
      <c r="H20" s="1">
        <v>37227091</v>
      </c>
      <c r="I20" s="1">
        <v>1479</v>
      </c>
      <c r="J20" s="1">
        <v>1532557.0000000002</v>
      </c>
    </row>
    <row r="23" spans="7:10" x14ac:dyDescent="0.25">
      <c r="G23" s="3" t="s">
        <v>51</v>
      </c>
      <c r="H23" s="3" t="s">
        <v>48</v>
      </c>
      <c r="I23" t="s">
        <v>46</v>
      </c>
    </row>
    <row r="24" spans="7:10" x14ac:dyDescent="0.25">
      <c r="G24" s="4" t="s">
        <v>33</v>
      </c>
      <c r="H24" s="1">
        <v>4046530</v>
      </c>
      <c r="I24" s="1">
        <v>161352.39999999997</v>
      </c>
    </row>
    <row r="25" spans="7:10" x14ac:dyDescent="0.25">
      <c r="G25" s="4" t="s">
        <v>34</v>
      </c>
      <c r="H25" s="1">
        <v>3464433</v>
      </c>
      <c r="I25" s="1">
        <v>145814.79999999999</v>
      </c>
    </row>
    <row r="26" spans="7:10" x14ac:dyDescent="0.25">
      <c r="G26" s="4" t="s">
        <v>35</v>
      </c>
      <c r="H26" s="1">
        <v>3715672</v>
      </c>
      <c r="I26" s="1">
        <v>155884.60000000003</v>
      </c>
    </row>
    <row r="27" spans="7:10" x14ac:dyDescent="0.25">
      <c r="G27" s="4" t="s">
        <v>36</v>
      </c>
      <c r="H27" s="1">
        <v>3300867</v>
      </c>
      <c r="I27" s="1">
        <v>120631.19999999997</v>
      </c>
    </row>
    <row r="28" spans="7:10" x14ac:dyDescent="0.25">
      <c r="G28" s="4" t="s">
        <v>37</v>
      </c>
      <c r="H28" s="1">
        <v>4461095</v>
      </c>
      <c r="I28" s="1">
        <v>148327.19999999998</v>
      </c>
    </row>
    <row r="29" spans="7:10" x14ac:dyDescent="0.25">
      <c r="G29" s="4" t="s">
        <v>38</v>
      </c>
      <c r="H29" s="1">
        <v>3463484</v>
      </c>
      <c r="I29" s="1">
        <v>156573.80000000002</v>
      </c>
    </row>
    <row r="30" spans="7:10" x14ac:dyDescent="0.25">
      <c r="G30" s="4" t="s">
        <v>39</v>
      </c>
      <c r="H30" s="1">
        <v>3323401</v>
      </c>
      <c r="I30" s="1">
        <v>178009.20000000004</v>
      </c>
    </row>
    <row r="31" spans="7:10" x14ac:dyDescent="0.25">
      <c r="G31" s="4" t="s">
        <v>40</v>
      </c>
      <c r="H31" s="1">
        <v>4289705</v>
      </c>
      <c r="I31" s="1">
        <v>164827.39999999997</v>
      </c>
    </row>
    <row r="32" spans="7:10" x14ac:dyDescent="0.25">
      <c r="G32" s="4" t="s">
        <v>41</v>
      </c>
      <c r="H32" s="1">
        <v>3898469</v>
      </c>
      <c r="I32" s="1">
        <v>173927.59999999998</v>
      </c>
    </row>
    <row r="33" spans="7:10" x14ac:dyDescent="0.25">
      <c r="G33" s="4" t="s">
        <v>42</v>
      </c>
      <c r="H33" s="1">
        <v>3263435</v>
      </c>
      <c r="I33" s="1">
        <v>127208.8</v>
      </c>
    </row>
    <row r="34" spans="7:10" x14ac:dyDescent="0.25">
      <c r="G34" s="4" t="s">
        <v>32</v>
      </c>
      <c r="H34" s="1">
        <v>37227091</v>
      </c>
      <c r="I34" s="1">
        <v>1532556.9999999998</v>
      </c>
    </row>
    <row r="37" spans="7:10" x14ac:dyDescent="0.25">
      <c r="G37" s="3" t="s">
        <v>51</v>
      </c>
      <c r="H37" s="3" t="s">
        <v>45</v>
      </c>
      <c r="I37" t="s">
        <v>48</v>
      </c>
      <c r="J37" t="s">
        <v>46</v>
      </c>
    </row>
    <row r="38" spans="7:10" x14ac:dyDescent="0.25">
      <c r="G38" s="4" t="s">
        <v>19</v>
      </c>
      <c r="H38" s="1">
        <v>139</v>
      </c>
      <c r="I38" s="1">
        <v>3411818</v>
      </c>
      <c r="J38" s="1">
        <v>158415.20000000001</v>
      </c>
    </row>
    <row r="39" spans="7:10" x14ac:dyDescent="0.25">
      <c r="G39" s="4" t="s">
        <v>16</v>
      </c>
      <c r="H39" s="1">
        <v>189</v>
      </c>
      <c r="I39" s="1">
        <v>4666911</v>
      </c>
      <c r="J39" s="1">
        <v>222017.6</v>
      </c>
    </row>
    <row r="40" spans="7:10" x14ac:dyDescent="0.25">
      <c r="G40" s="4" t="s">
        <v>25</v>
      </c>
      <c r="H40" s="1">
        <v>203</v>
      </c>
      <c r="I40" s="1">
        <v>4615631</v>
      </c>
      <c r="J40" s="1">
        <v>181844</v>
      </c>
    </row>
    <row r="41" spans="7:10" x14ac:dyDescent="0.25">
      <c r="G41" s="4" t="s">
        <v>29</v>
      </c>
      <c r="H41" s="1">
        <v>170</v>
      </c>
      <c r="I41" s="1">
        <v>4302479</v>
      </c>
      <c r="J41" s="1">
        <v>164794.79999999999</v>
      </c>
    </row>
    <row r="42" spans="7:10" x14ac:dyDescent="0.25">
      <c r="G42" s="4" t="s">
        <v>27</v>
      </c>
      <c r="H42" s="1">
        <v>174</v>
      </c>
      <c r="I42" s="1">
        <v>4820115</v>
      </c>
      <c r="J42" s="1">
        <v>193009.99999999997</v>
      </c>
    </row>
    <row r="43" spans="7:10" x14ac:dyDescent="0.25">
      <c r="G43" s="4" t="s">
        <v>24</v>
      </c>
      <c r="H43" s="1">
        <v>224</v>
      </c>
      <c r="I43" s="1">
        <v>4905424</v>
      </c>
      <c r="J43" s="1">
        <v>202137.99999999997</v>
      </c>
    </row>
    <row r="44" spans="7:10" x14ac:dyDescent="0.25">
      <c r="G44" s="4" t="s">
        <v>9</v>
      </c>
      <c r="H44" s="1">
        <v>201</v>
      </c>
      <c r="I44" s="1">
        <v>5906260</v>
      </c>
      <c r="J44" s="1">
        <v>240553.60000000003</v>
      </c>
    </row>
    <row r="45" spans="7:10" x14ac:dyDescent="0.25">
      <c r="G45" s="4" t="s">
        <v>13</v>
      </c>
      <c r="H45" s="1">
        <v>179</v>
      </c>
      <c r="I45" s="1">
        <v>4598453</v>
      </c>
      <c r="J45" s="1">
        <v>169783.80000000002</v>
      </c>
    </row>
    <row r="46" spans="7:10" x14ac:dyDescent="0.25">
      <c r="G46" s="4" t="s">
        <v>32</v>
      </c>
      <c r="H46" s="1">
        <v>1479</v>
      </c>
      <c r="I46" s="1">
        <v>37227091</v>
      </c>
      <c r="J46" s="1">
        <v>1532557.0000000002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9B43-97C3-45C3-8716-0C398065F6B6}">
  <dimension ref="A1"/>
  <sheetViews>
    <sheetView showGridLines="0" tabSelected="1" workbookViewId="0">
      <selection activeCell="A5" sqref="A5"/>
    </sheetView>
  </sheetViews>
  <sheetFormatPr defaultRowHeight="15" x14ac:dyDescent="0.25"/>
  <cols>
    <col min="1" max="16384" width="9.140625" style="7"/>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J301"/>
  <sheetViews>
    <sheetView topLeftCell="A2" zoomScaleNormal="100" workbookViewId="0">
      <selection activeCell="A2" sqref="A1:J301"/>
    </sheetView>
  </sheetViews>
  <sheetFormatPr defaultRowHeight="15" x14ac:dyDescent="0.25"/>
  <cols>
    <col min="1" max="1" width="13" customWidth="1"/>
    <col min="2" max="2" width="15.42578125" customWidth="1"/>
    <col min="3" max="3" width="11" customWidth="1"/>
    <col min="4" max="4" width="16.5703125" bestFit="1" customWidth="1"/>
    <col min="5" max="5" width="12.140625" bestFit="1" customWidth="1"/>
    <col min="6" max="6" width="10.140625" customWidth="1"/>
    <col min="7" max="7" width="10.42578125" customWidth="1"/>
    <col min="8" max="8" width="12.140625" customWidth="1"/>
    <col min="9" max="9" width="12.7109375" customWidth="1"/>
    <col min="10" max="10" width="10.140625" customWidth="1"/>
    <col min="11" max="11" width="8.28515625" bestFit="1" customWidth="1"/>
  </cols>
  <sheetData>
    <row r="1" spans="1:10" x14ac:dyDescent="0.25">
      <c r="A1" t="s">
        <v>49</v>
      </c>
      <c r="B1" t="s">
        <v>50</v>
      </c>
      <c r="C1" t="s">
        <v>0</v>
      </c>
      <c r="D1" t="s">
        <v>1</v>
      </c>
      <c r="E1" t="s">
        <v>2</v>
      </c>
      <c r="F1" t="s">
        <v>3</v>
      </c>
      <c r="G1" t="s">
        <v>47</v>
      </c>
      <c r="H1" t="s">
        <v>4</v>
      </c>
      <c r="I1" t="s">
        <v>44</v>
      </c>
      <c r="J1" t="s">
        <v>5</v>
      </c>
    </row>
    <row r="2" spans="1:10" x14ac:dyDescent="0.25">
      <c r="A2" s="1">
        <v>101</v>
      </c>
      <c r="B2" s="1" t="s">
        <v>6</v>
      </c>
      <c r="C2" s="1" t="s">
        <v>7</v>
      </c>
      <c r="D2" s="1" t="s">
        <v>8</v>
      </c>
      <c r="E2" s="1" t="s">
        <v>9</v>
      </c>
      <c r="F2">
        <v>1</v>
      </c>
      <c r="G2">
        <v>13875</v>
      </c>
      <c r="H2" s="2">
        <v>44927</v>
      </c>
      <c r="I2">
        <v>13875</v>
      </c>
      <c r="J2">
        <v>2775</v>
      </c>
    </row>
    <row r="3" spans="1:10" x14ac:dyDescent="0.25">
      <c r="A3" s="1">
        <v>102</v>
      </c>
      <c r="B3" s="1" t="s">
        <v>10</v>
      </c>
      <c r="C3" s="1" t="s">
        <v>11</v>
      </c>
      <c r="D3" s="1" t="s">
        <v>12</v>
      </c>
      <c r="E3" s="1" t="s">
        <v>13</v>
      </c>
      <c r="F3">
        <v>6</v>
      </c>
      <c r="G3">
        <v>2622</v>
      </c>
      <c r="H3" s="2">
        <v>44928</v>
      </c>
      <c r="I3">
        <v>15732</v>
      </c>
      <c r="J3">
        <v>524.4</v>
      </c>
    </row>
    <row r="4" spans="1:10" x14ac:dyDescent="0.25">
      <c r="A4" s="1">
        <v>103</v>
      </c>
      <c r="B4" s="1" t="s">
        <v>14</v>
      </c>
      <c r="C4" s="1" t="s">
        <v>7</v>
      </c>
      <c r="D4" s="1" t="s">
        <v>15</v>
      </c>
      <c r="E4" s="1" t="s">
        <v>16</v>
      </c>
      <c r="F4">
        <v>5</v>
      </c>
      <c r="G4">
        <v>49756</v>
      </c>
      <c r="H4" s="2">
        <v>44929</v>
      </c>
      <c r="I4">
        <v>248780</v>
      </c>
      <c r="J4">
        <v>9951.2000000000007</v>
      </c>
    </row>
    <row r="5" spans="1:10" x14ac:dyDescent="0.25">
      <c r="A5" s="1">
        <v>104</v>
      </c>
      <c r="B5" s="1" t="s">
        <v>17</v>
      </c>
      <c r="C5" s="1" t="s">
        <v>7</v>
      </c>
      <c r="D5" s="1" t="s">
        <v>18</v>
      </c>
      <c r="E5" s="1" t="s">
        <v>19</v>
      </c>
      <c r="F5">
        <v>4</v>
      </c>
      <c r="G5">
        <v>41809</v>
      </c>
      <c r="H5" s="2">
        <v>44930</v>
      </c>
      <c r="I5">
        <v>167236</v>
      </c>
      <c r="J5">
        <v>8361.7999999999993</v>
      </c>
    </row>
    <row r="6" spans="1:10" x14ac:dyDescent="0.25">
      <c r="A6" s="1">
        <v>105</v>
      </c>
      <c r="B6" s="1" t="s">
        <v>6</v>
      </c>
      <c r="C6" s="1" t="s">
        <v>20</v>
      </c>
      <c r="D6" s="1" t="s">
        <v>15</v>
      </c>
      <c r="E6" s="1" t="s">
        <v>16</v>
      </c>
      <c r="F6">
        <v>3</v>
      </c>
      <c r="G6">
        <v>17725</v>
      </c>
      <c r="H6" s="2">
        <v>44931</v>
      </c>
      <c r="I6">
        <v>53175</v>
      </c>
      <c r="J6">
        <v>3545</v>
      </c>
    </row>
    <row r="7" spans="1:10" x14ac:dyDescent="0.25">
      <c r="A7" s="1">
        <v>106</v>
      </c>
      <c r="B7" s="1" t="s">
        <v>21</v>
      </c>
      <c r="C7" s="1" t="s">
        <v>7</v>
      </c>
      <c r="D7" s="1" t="s">
        <v>18</v>
      </c>
      <c r="E7" s="1" t="s">
        <v>9</v>
      </c>
      <c r="F7">
        <v>1</v>
      </c>
      <c r="G7">
        <v>41760</v>
      </c>
      <c r="H7" s="2">
        <v>44932</v>
      </c>
      <c r="I7">
        <v>41760</v>
      </c>
      <c r="J7">
        <v>8352</v>
      </c>
    </row>
    <row r="8" spans="1:10" x14ac:dyDescent="0.25">
      <c r="A8" s="1">
        <v>107</v>
      </c>
      <c r="B8" s="1" t="s">
        <v>22</v>
      </c>
      <c r="C8" s="1" t="s">
        <v>23</v>
      </c>
      <c r="D8" s="1" t="s">
        <v>8</v>
      </c>
      <c r="E8" s="1" t="s">
        <v>9</v>
      </c>
      <c r="F8">
        <v>6</v>
      </c>
      <c r="G8">
        <v>16646</v>
      </c>
      <c r="H8" s="2">
        <v>44933</v>
      </c>
      <c r="I8">
        <v>99876</v>
      </c>
      <c r="J8">
        <v>3329.2</v>
      </c>
    </row>
    <row r="9" spans="1:10" x14ac:dyDescent="0.25">
      <c r="A9" s="1">
        <v>108</v>
      </c>
      <c r="B9" s="1" t="s">
        <v>6</v>
      </c>
      <c r="C9" s="1" t="s">
        <v>23</v>
      </c>
      <c r="D9" s="1" t="s">
        <v>18</v>
      </c>
      <c r="E9" s="1" t="s">
        <v>9</v>
      </c>
      <c r="F9">
        <v>2</v>
      </c>
      <c r="G9">
        <v>18029</v>
      </c>
      <c r="H9" s="2">
        <v>44934</v>
      </c>
      <c r="I9">
        <v>36058</v>
      </c>
      <c r="J9">
        <v>3605.8</v>
      </c>
    </row>
    <row r="10" spans="1:10" x14ac:dyDescent="0.25">
      <c r="A10" s="1">
        <v>109</v>
      </c>
      <c r="B10" s="1" t="s">
        <v>14</v>
      </c>
      <c r="C10" s="1" t="s">
        <v>11</v>
      </c>
      <c r="D10" s="1" t="s">
        <v>8</v>
      </c>
      <c r="E10" s="1" t="s">
        <v>24</v>
      </c>
      <c r="F10">
        <v>8</v>
      </c>
      <c r="G10">
        <v>30402</v>
      </c>
      <c r="H10" s="2">
        <v>44935</v>
      </c>
      <c r="I10">
        <v>243216</v>
      </c>
      <c r="J10">
        <v>6080.4</v>
      </c>
    </row>
    <row r="11" spans="1:10" x14ac:dyDescent="0.25">
      <c r="A11" s="1">
        <v>110</v>
      </c>
      <c r="B11" s="1" t="s">
        <v>17</v>
      </c>
      <c r="C11" s="1" t="s">
        <v>7</v>
      </c>
      <c r="D11" s="1" t="s">
        <v>18</v>
      </c>
      <c r="E11" s="1" t="s">
        <v>24</v>
      </c>
      <c r="F11">
        <v>5</v>
      </c>
      <c r="G11">
        <v>5263</v>
      </c>
      <c r="H11" s="2">
        <v>44936</v>
      </c>
      <c r="I11">
        <v>26315</v>
      </c>
      <c r="J11">
        <v>1052.5999999999999</v>
      </c>
    </row>
    <row r="12" spans="1:10" x14ac:dyDescent="0.25">
      <c r="A12" s="1">
        <v>111</v>
      </c>
      <c r="B12" s="1" t="s">
        <v>10</v>
      </c>
      <c r="C12" s="1" t="s">
        <v>11</v>
      </c>
      <c r="D12" s="1" t="s">
        <v>8</v>
      </c>
      <c r="E12" s="1" t="s">
        <v>25</v>
      </c>
      <c r="F12">
        <v>7</v>
      </c>
      <c r="G12">
        <v>31987</v>
      </c>
      <c r="H12" s="2">
        <v>44937</v>
      </c>
      <c r="I12">
        <v>223909</v>
      </c>
      <c r="J12">
        <v>6397.4</v>
      </c>
    </row>
    <row r="13" spans="1:10" x14ac:dyDescent="0.25">
      <c r="A13" s="1">
        <v>112</v>
      </c>
      <c r="B13" s="1" t="s">
        <v>14</v>
      </c>
      <c r="C13" s="1" t="s">
        <v>23</v>
      </c>
      <c r="D13" s="1" t="s">
        <v>18</v>
      </c>
      <c r="E13" s="1" t="s">
        <v>25</v>
      </c>
      <c r="F13">
        <v>2</v>
      </c>
      <c r="G13">
        <v>47828</v>
      </c>
      <c r="H13" s="2">
        <v>44938</v>
      </c>
      <c r="I13">
        <v>95656</v>
      </c>
      <c r="J13">
        <v>9565.6</v>
      </c>
    </row>
    <row r="14" spans="1:10" x14ac:dyDescent="0.25">
      <c r="A14" s="1">
        <v>113</v>
      </c>
      <c r="B14" s="1" t="s">
        <v>14</v>
      </c>
      <c r="C14" s="1" t="s">
        <v>7</v>
      </c>
      <c r="D14" s="1" t="s">
        <v>12</v>
      </c>
      <c r="E14" s="1" t="s">
        <v>9</v>
      </c>
      <c r="F14">
        <v>8</v>
      </c>
      <c r="G14">
        <v>48924</v>
      </c>
      <c r="H14" s="2">
        <v>44939</v>
      </c>
      <c r="I14">
        <v>391392</v>
      </c>
      <c r="J14">
        <v>9784.7999999999993</v>
      </c>
    </row>
    <row r="15" spans="1:10" x14ac:dyDescent="0.25">
      <c r="A15" s="1">
        <v>114</v>
      </c>
      <c r="B15" s="1" t="s">
        <v>22</v>
      </c>
      <c r="C15" s="1" t="s">
        <v>7</v>
      </c>
      <c r="D15" s="1" t="s">
        <v>18</v>
      </c>
      <c r="E15" s="1" t="s">
        <v>13</v>
      </c>
      <c r="F15">
        <v>2</v>
      </c>
      <c r="G15">
        <v>9646</v>
      </c>
      <c r="H15" s="2">
        <v>44940</v>
      </c>
      <c r="I15">
        <v>19292</v>
      </c>
      <c r="J15">
        <v>1929.2</v>
      </c>
    </row>
    <row r="16" spans="1:10" x14ac:dyDescent="0.25">
      <c r="A16" s="1">
        <v>115</v>
      </c>
      <c r="B16" s="1" t="s">
        <v>26</v>
      </c>
      <c r="C16" s="1" t="s">
        <v>11</v>
      </c>
      <c r="D16" s="1" t="s">
        <v>18</v>
      </c>
      <c r="E16" s="1" t="s">
        <v>27</v>
      </c>
      <c r="F16">
        <v>4</v>
      </c>
      <c r="G16">
        <v>28529</v>
      </c>
      <c r="H16" s="2">
        <v>44941</v>
      </c>
      <c r="I16">
        <v>114116</v>
      </c>
      <c r="J16">
        <v>5705.8</v>
      </c>
    </row>
    <row r="17" spans="1:10" x14ac:dyDescent="0.25">
      <c r="A17" s="1">
        <v>116</v>
      </c>
      <c r="B17" s="1" t="s">
        <v>17</v>
      </c>
      <c r="C17" s="1" t="s">
        <v>23</v>
      </c>
      <c r="D17" s="1" t="s">
        <v>12</v>
      </c>
      <c r="E17" s="1" t="s">
        <v>24</v>
      </c>
      <c r="F17">
        <v>1</v>
      </c>
      <c r="G17">
        <v>12664</v>
      </c>
      <c r="H17" s="2">
        <v>44942</v>
      </c>
      <c r="I17">
        <v>12664</v>
      </c>
      <c r="J17">
        <v>2532.8000000000002</v>
      </c>
    </row>
    <row r="18" spans="1:10" x14ac:dyDescent="0.25">
      <c r="A18" s="1">
        <v>117</v>
      </c>
      <c r="B18" s="1" t="s">
        <v>28</v>
      </c>
      <c r="C18" s="1" t="s">
        <v>7</v>
      </c>
      <c r="D18" s="1" t="s">
        <v>15</v>
      </c>
      <c r="E18" s="1" t="s">
        <v>13</v>
      </c>
      <c r="F18">
        <v>5</v>
      </c>
      <c r="G18">
        <v>36737</v>
      </c>
      <c r="H18" s="2">
        <v>44943</v>
      </c>
      <c r="I18">
        <v>183685</v>
      </c>
      <c r="J18">
        <v>7347.4</v>
      </c>
    </row>
    <row r="19" spans="1:10" x14ac:dyDescent="0.25">
      <c r="A19" s="1">
        <v>118</v>
      </c>
      <c r="B19" s="1" t="s">
        <v>14</v>
      </c>
      <c r="C19" s="1" t="s">
        <v>11</v>
      </c>
      <c r="D19" s="1" t="s">
        <v>15</v>
      </c>
      <c r="E19" s="1" t="s">
        <v>29</v>
      </c>
      <c r="F19">
        <v>9</v>
      </c>
      <c r="G19">
        <v>36796</v>
      </c>
      <c r="H19" s="2">
        <v>44944</v>
      </c>
      <c r="I19">
        <v>331164</v>
      </c>
      <c r="J19">
        <v>7359.2</v>
      </c>
    </row>
    <row r="20" spans="1:10" x14ac:dyDescent="0.25">
      <c r="A20" s="1">
        <v>119</v>
      </c>
      <c r="B20" s="1" t="s">
        <v>26</v>
      </c>
      <c r="C20" s="1" t="s">
        <v>23</v>
      </c>
      <c r="D20" s="1" t="s">
        <v>18</v>
      </c>
      <c r="E20" s="1" t="s">
        <v>24</v>
      </c>
      <c r="F20">
        <v>1</v>
      </c>
      <c r="G20">
        <v>25027</v>
      </c>
      <c r="H20" s="2">
        <v>44945</v>
      </c>
      <c r="I20">
        <v>25027</v>
      </c>
      <c r="J20">
        <v>5005.3999999999996</v>
      </c>
    </row>
    <row r="21" spans="1:10" x14ac:dyDescent="0.25">
      <c r="A21" s="1">
        <v>120</v>
      </c>
      <c r="B21" s="1" t="s">
        <v>28</v>
      </c>
      <c r="C21" s="1" t="s">
        <v>11</v>
      </c>
      <c r="D21" s="1" t="s">
        <v>12</v>
      </c>
      <c r="E21" s="1" t="s">
        <v>24</v>
      </c>
      <c r="F21">
        <v>9</v>
      </c>
      <c r="G21">
        <v>30373</v>
      </c>
      <c r="H21" s="2">
        <v>44946</v>
      </c>
      <c r="I21">
        <v>273357</v>
      </c>
      <c r="J21">
        <v>6074.6</v>
      </c>
    </row>
    <row r="22" spans="1:10" x14ac:dyDescent="0.25">
      <c r="A22" s="1">
        <v>121</v>
      </c>
      <c r="B22" s="1" t="s">
        <v>17</v>
      </c>
      <c r="C22" s="1" t="s">
        <v>20</v>
      </c>
      <c r="D22" s="1" t="s">
        <v>18</v>
      </c>
      <c r="E22" s="1" t="s">
        <v>25</v>
      </c>
      <c r="F22">
        <v>8</v>
      </c>
      <c r="G22">
        <v>37397</v>
      </c>
      <c r="H22" s="2">
        <v>44947</v>
      </c>
      <c r="I22">
        <v>299176</v>
      </c>
      <c r="J22">
        <v>7479.4</v>
      </c>
    </row>
    <row r="23" spans="1:10" x14ac:dyDescent="0.25">
      <c r="A23" s="1">
        <v>122</v>
      </c>
      <c r="B23" s="1" t="s">
        <v>30</v>
      </c>
      <c r="C23" s="1" t="s">
        <v>7</v>
      </c>
      <c r="D23" s="1" t="s">
        <v>8</v>
      </c>
      <c r="E23" s="1" t="s">
        <v>27</v>
      </c>
      <c r="F23">
        <v>6</v>
      </c>
      <c r="G23">
        <v>21609</v>
      </c>
      <c r="H23" s="2">
        <v>44948</v>
      </c>
      <c r="I23">
        <v>129654</v>
      </c>
      <c r="J23">
        <v>4321.8</v>
      </c>
    </row>
    <row r="24" spans="1:10" x14ac:dyDescent="0.25">
      <c r="A24" s="1">
        <v>123</v>
      </c>
      <c r="B24" s="1" t="s">
        <v>21</v>
      </c>
      <c r="C24" s="1" t="s">
        <v>20</v>
      </c>
      <c r="D24" s="1" t="s">
        <v>8</v>
      </c>
      <c r="E24" s="1" t="s">
        <v>27</v>
      </c>
      <c r="F24">
        <v>7</v>
      </c>
      <c r="G24">
        <v>36835</v>
      </c>
      <c r="H24" s="2">
        <v>44949</v>
      </c>
      <c r="I24">
        <v>257845</v>
      </c>
      <c r="J24">
        <v>7367</v>
      </c>
    </row>
    <row r="25" spans="1:10" x14ac:dyDescent="0.25">
      <c r="A25" s="1">
        <v>124</v>
      </c>
      <c r="B25" s="1" t="s">
        <v>26</v>
      </c>
      <c r="C25" s="1" t="s">
        <v>23</v>
      </c>
      <c r="D25" s="1" t="s">
        <v>18</v>
      </c>
      <c r="E25" s="1" t="s">
        <v>19</v>
      </c>
      <c r="F25">
        <v>3</v>
      </c>
      <c r="G25">
        <v>39709</v>
      </c>
      <c r="H25" s="2">
        <v>44950</v>
      </c>
      <c r="I25">
        <v>119127</v>
      </c>
      <c r="J25">
        <v>7941.8</v>
      </c>
    </row>
    <row r="26" spans="1:10" x14ac:dyDescent="0.25">
      <c r="A26" s="1">
        <v>125</v>
      </c>
      <c r="B26" s="1" t="s">
        <v>31</v>
      </c>
      <c r="C26" s="1" t="s">
        <v>20</v>
      </c>
      <c r="D26" s="1" t="s">
        <v>15</v>
      </c>
      <c r="E26" s="1" t="s">
        <v>16</v>
      </c>
      <c r="F26">
        <v>1</v>
      </c>
      <c r="G26">
        <v>20250</v>
      </c>
      <c r="H26" s="2">
        <v>44951</v>
      </c>
      <c r="I26">
        <v>20250</v>
      </c>
      <c r="J26">
        <v>4050</v>
      </c>
    </row>
    <row r="27" spans="1:10" x14ac:dyDescent="0.25">
      <c r="A27" s="1">
        <v>126</v>
      </c>
      <c r="B27" s="1" t="s">
        <v>30</v>
      </c>
      <c r="C27" s="1" t="s">
        <v>20</v>
      </c>
      <c r="D27" s="1" t="s">
        <v>15</v>
      </c>
      <c r="E27" s="1" t="s">
        <v>16</v>
      </c>
      <c r="F27">
        <v>5</v>
      </c>
      <c r="G27">
        <v>22172</v>
      </c>
      <c r="H27" s="2">
        <v>44952</v>
      </c>
      <c r="I27">
        <v>110860</v>
      </c>
      <c r="J27">
        <v>4434.3999999999996</v>
      </c>
    </row>
    <row r="28" spans="1:10" x14ac:dyDescent="0.25">
      <c r="A28" s="1">
        <v>127</v>
      </c>
      <c r="B28" s="1" t="s">
        <v>21</v>
      </c>
      <c r="C28" s="1" t="s">
        <v>23</v>
      </c>
      <c r="D28" s="1" t="s">
        <v>18</v>
      </c>
      <c r="E28" s="1" t="s">
        <v>16</v>
      </c>
      <c r="F28">
        <v>2</v>
      </c>
      <c r="G28">
        <v>12555</v>
      </c>
      <c r="H28" s="2">
        <v>44953</v>
      </c>
      <c r="I28">
        <v>25110</v>
      </c>
      <c r="J28">
        <v>2511</v>
      </c>
    </row>
    <row r="29" spans="1:10" x14ac:dyDescent="0.25">
      <c r="A29" s="1">
        <v>128</v>
      </c>
      <c r="B29" s="1" t="s">
        <v>22</v>
      </c>
      <c r="C29" s="1" t="s">
        <v>11</v>
      </c>
      <c r="D29" s="1" t="s">
        <v>18</v>
      </c>
      <c r="E29" s="1" t="s">
        <v>16</v>
      </c>
      <c r="F29">
        <v>5</v>
      </c>
      <c r="G29">
        <v>22874</v>
      </c>
      <c r="H29" s="2">
        <v>44954</v>
      </c>
      <c r="I29">
        <v>114370</v>
      </c>
      <c r="J29">
        <v>4574.8</v>
      </c>
    </row>
    <row r="30" spans="1:10" x14ac:dyDescent="0.25">
      <c r="A30" s="1">
        <v>129</v>
      </c>
      <c r="B30" s="1" t="s">
        <v>6</v>
      </c>
      <c r="C30" s="1" t="s">
        <v>20</v>
      </c>
      <c r="D30" s="1" t="s">
        <v>8</v>
      </c>
      <c r="E30" s="1" t="s">
        <v>29</v>
      </c>
      <c r="F30">
        <v>8</v>
      </c>
      <c r="G30">
        <v>14081</v>
      </c>
      <c r="H30" s="2">
        <v>44955</v>
      </c>
      <c r="I30">
        <v>112648</v>
      </c>
      <c r="J30">
        <v>2816.2</v>
      </c>
    </row>
    <row r="31" spans="1:10" x14ac:dyDescent="0.25">
      <c r="A31" s="1">
        <v>130</v>
      </c>
      <c r="B31" s="1" t="s">
        <v>10</v>
      </c>
      <c r="C31" s="1" t="s">
        <v>11</v>
      </c>
      <c r="D31" s="1" t="s">
        <v>15</v>
      </c>
      <c r="E31" s="1" t="s">
        <v>29</v>
      </c>
      <c r="F31">
        <v>9</v>
      </c>
      <c r="G31">
        <v>25063</v>
      </c>
      <c r="H31" s="2">
        <v>44956</v>
      </c>
      <c r="I31">
        <v>225567</v>
      </c>
      <c r="J31">
        <v>5012.6000000000004</v>
      </c>
    </row>
    <row r="32" spans="1:10" x14ac:dyDescent="0.25">
      <c r="A32" s="1">
        <v>131</v>
      </c>
      <c r="B32" s="1" t="s">
        <v>31</v>
      </c>
      <c r="C32" s="1" t="s">
        <v>20</v>
      </c>
      <c r="D32" s="1" t="s">
        <v>18</v>
      </c>
      <c r="E32" s="1" t="s">
        <v>24</v>
      </c>
      <c r="F32">
        <v>2</v>
      </c>
      <c r="G32">
        <v>7819</v>
      </c>
      <c r="H32" s="2">
        <v>44957</v>
      </c>
      <c r="I32">
        <v>15638</v>
      </c>
      <c r="J32">
        <v>1563.8</v>
      </c>
    </row>
    <row r="33" spans="1:10" x14ac:dyDescent="0.25">
      <c r="A33" s="1">
        <v>132</v>
      </c>
      <c r="B33" s="1" t="s">
        <v>22</v>
      </c>
      <c r="C33" s="1" t="s">
        <v>11</v>
      </c>
      <c r="D33" s="1" t="s">
        <v>8</v>
      </c>
      <c r="E33" s="1" t="s">
        <v>9</v>
      </c>
      <c r="F33">
        <v>3</v>
      </c>
      <c r="G33">
        <v>26712</v>
      </c>
      <c r="H33" s="2">
        <v>44958</v>
      </c>
      <c r="I33">
        <v>80136</v>
      </c>
      <c r="J33">
        <v>5342.4</v>
      </c>
    </row>
    <row r="34" spans="1:10" x14ac:dyDescent="0.25">
      <c r="A34" s="1">
        <v>133</v>
      </c>
      <c r="B34" s="1" t="s">
        <v>17</v>
      </c>
      <c r="C34" s="1" t="s">
        <v>23</v>
      </c>
      <c r="D34" s="1" t="s">
        <v>15</v>
      </c>
      <c r="E34" s="1" t="s">
        <v>25</v>
      </c>
      <c r="F34">
        <v>3</v>
      </c>
      <c r="G34">
        <v>25762</v>
      </c>
      <c r="H34" s="2">
        <v>44959</v>
      </c>
      <c r="I34">
        <v>77286</v>
      </c>
      <c r="J34">
        <v>5152.3999999999996</v>
      </c>
    </row>
    <row r="35" spans="1:10" x14ac:dyDescent="0.25">
      <c r="A35" s="1">
        <v>134</v>
      </c>
      <c r="B35" s="1" t="s">
        <v>22</v>
      </c>
      <c r="C35" s="1" t="s">
        <v>20</v>
      </c>
      <c r="D35" s="1" t="s">
        <v>12</v>
      </c>
      <c r="E35" s="1" t="s">
        <v>25</v>
      </c>
      <c r="F35">
        <v>1</v>
      </c>
      <c r="G35">
        <v>12046</v>
      </c>
      <c r="H35" s="2">
        <v>44960</v>
      </c>
      <c r="I35">
        <v>12046</v>
      </c>
      <c r="J35">
        <v>2409.1999999999998</v>
      </c>
    </row>
    <row r="36" spans="1:10" x14ac:dyDescent="0.25">
      <c r="A36" s="1">
        <v>135</v>
      </c>
      <c r="B36" s="1" t="s">
        <v>6</v>
      </c>
      <c r="C36" s="1" t="s">
        <v>23</v>
      </c>
      <c r="D36" s="1" t="s">
        <v>8</v>
      </c>
      <c r="E36" s="1" t="s">
        <v>16</v>
      </c>
      <c r="F36">
        <v>8</v>
      </c>
      <c r="G36">
        <v>32463</v>
      </c>
      <c r="H36" s="2">
        <v>44961</v>
      </c>
      <c r="I36">
        <v>259704</v>
      </c>
      <c r="J36">
        <v>6492.6</v>
      </c>
    </row>
    <row r="37" spans="1:10" x14ac:dyDescent="0.25">
      <c r="A37" s="1">
        <v>136</v>
      </c>
      <c r="B37" s="1" t="s">
        <v>17</v>
      </c>
      <c r="C37" s="1" t="s">
        <v>20</v>
      </c>
      <c r="D37" s="1" t="s">
        <v>15</v>
      </c>
      <c r="E37" s="1" t="s">
        <v>24</v>
      </c>
      <c r="F37">
        <v>6</v>
      </c>
      <c r="G37">
        <v>29769</v>
      </c>
      <c r="H37" s="2">
        <v>44962</v>
      </c>
      <c r="I37">
        <v>178614</v>
      </c>
      <c r="J37">
        <v>5953.8</v>
      </c>
    </row>
    <row r="38" spans="1:10" x14ac:dyDescent="0.25">
      <c r="A38" s="1">
        <v>137</v>
      </c>
      <c r="B38" s="1" t="s">
        <v>31</v>
      </c>
      <c r="C38" s="1" t="s">
        <v>23</v>
      </c>
      <c r="D38" s="1" t="s">
        <v>15</v>
      </c>
      <c r="E38" s="1" t="s">
        <v>19</v>
      </c>
      <c r="F38">
        <v>8</v>
      </c>
      <c r="G38">
        <v>24150</v>
      </c>
      <c r="H38" s="2">
        <v>44963</v>
      </c>
      <c r="I38">
        <v>193200</v>
      </c>
      <c r="J38">
        <v>4830</v>
      </c>
    </row>
    <row r="39" spans="1:10" x14ac:dyDescent="0.25">
      <c r="A39" s="1">
        <v>138</v>
      </c>
      <c r="B39" s="1" t="s">
        <v>6</v>
      </c>
      <c r="C39" s="1" t="s">
        <v>23</v>
      </c>
      <c r="D39" s="1" t="s">
        <v>8</v>
      </c>
      <c r="E39" s="1" t="s">
        <v>13</v>
      </c>
      <c r="F39">
        <v>9</v>
      </c>
      <c r="G39">
        <v>3711</v>
      </c>
      <c r="H39" s="2">
        <v>44964</v>
      </c>
      <c r="I39">
        <v>33399</v>
      </c>
      <c r="J39">
        <v>742.2</v>
      </c>
    </row>
    <row r="40" spans="1:10" x14ac:dyDescent="0.25">
      <c r="A40" s="1">
        <v>139</v>
      </c>
      <c r="B40" s="1" t="s">
        <v>28</v>
      </c>
      <c r="C40" s="1" t="s">
        <v>20</v>
      </c>
      <c r="D40" s="1" t="s">
        <v>12</v>
      </c>
      <c r="E40" s="1" t="s">
        <v>9</v>
      </c>
      <c r="F40">
        <v>5</v>
      </c>
      <c r="G40">
        <v>5853</v>
      </c>
      <c r="H40" s="2">
        <v>44965</v>
      </c>
      <c r="I40">
        <v>29265</v>
      </c>
      <c r="J40">
        <v>1170.5999999999999</v>
      </c>
    </row>
    <row r="41" spans="1:10" x14ac:dyDescent="0.25">
      <c r="A41" s="1">
        <v>140</v>
      </c>
      <c r="B41" s="1" t="s">
        <v>10</v>
      </c>
      <c r="C41" s="1" t="s">
        <v>20</v>
      </c>
      <c r="D41" s="1" t="s">
        <v>8</v>
      </c>
      <c r="E41" s="1" t="s">
        <v>24</v>
      </c>
      <c r="F41">
        <v>3</v>
      </c>
      <c r="G41">
        <v>30077</v>
      </c>
      <c r="H41" s="2">
        <v>44966</v>
      </c>
      <c r="I41">
        <v>90231</v>
      </c>
      <c r="J41">
        <v>6015.4</v>
      </c>
    </row>
    <row r="42" spans="1:10" x14ac:dyDescent="0.25">
      <c r="A42" s="1">
        <v>141</v>
      </c>
      <c r="B42" s="1" t="s">
        <v>31</v>
      </c>
      <c r="C42" s="1" t="s">
        <v>20</v>
      </c>
      <c r="D42" s="1" t="s">
        <v>15</v>
      </c>
      <c r="E42" s="1" t="s">
        <v>9</v>
      </c>
      <c r="F42">
        <v>5</v>
      </c>
      <c r="G42">
        <v>24863</v>
      </c>
      <c r="H42" s="2">
        <v>44967</v>
      </c>
      <c r="I42">
        <v>124315</v>
      </c>
      <c r="J42">
        <v>4972.6000000000004</v>
      </c>
    </row>
    <row r="43" spans="1:10" x14ac:dyDescent="0.25">
      <c r="A43" s="1">
        <v>142</v>
      </c>
      <c r="B43" s="1" t="s">
        <v>28</v>
      </c>
      <c r="C43" s="1" t="s">
        <v>7</v>
      </c>
      <c r="D43" s="1" t="s">
        <v>18</v>
      </c>
      <c r="E43" s="1" t="s">
        <v>9</v>
      </c>
      <c r="F43">
        <v>5</v>
      </c>
      <c r="G43">
        <v>22792</v>
      </c>
      <c r="H43" s="2">
        <v>44968</v>
      </c>
      <c r="I43">
        <v>113960</v>
      </c>
      <c r="J43">
        <v>4558.3999999999996</v>
      </c>
    </row>
    <row r="44" spans="1:10" x14ac:dyDescent="0.25">
      <c r="A44" s="1">
        <v>143</v>
      </c>
      <c r="B44" s="1" t="s">
        <v>21</v>
      </c>
      <c r="C44" s="1" t="s">
        <v>11</v>
      </c>
      <c r="D44" s="1" t="s">
        <v>18</v>
      </c>
      <c r="E44" s="1" t="s">
        <v>9</v>
      </c>
      <c r="F44">
        <v>5</v>
      </c>
      <c r="G44">
        <v>41483</v>
      </c>
      <c r="H44" s="2">
        <v>44969</v>
      </c>
      <c r="I44">
        <v>207415</v>
      </c>
      <c r="J44">
        <v>8296.6</v>
      </c>
    </row>
    <row r="45" spans="1:10" x14ac:dyDescent="0.25">
      <c r="A45" s="1">
        <v>144</v>
      </c>
      <c r="B45" s="1" t="s">
        <v>31</v>
      </c>
      <c r="C45" s="1" t="s">
        <v>7</v>
      </c>
      <c r="D45" s="1" t="s">
        <v>8</v>
      </c>
      <c r="E45" s="1" t="s">
        <v>24</v>
      </c>
      <c r="F45">
        <v>3</v>
      </c>
      <c r="G45">
        <v>9942</v>
      </c>
      <c r="H45" s="2">
        <v>44970</v>
      </c>
      <c r="I45">
        <v>29826</v>
      </c>
      <c r="J45">
        <v>1988.4</v>
      </c>
    </row>
    <row r="46" spans="1:10" x14ac:dyDescent="0.25">
      <c r="A46" s="1">
        <v>145</v>
      </c>
      <c r="B46" s="1" t="s">
        <v>21</v>
      </c>
      <c r="C46" s="1" t="s">
        <v>7</v>
      </c>
      <c r="D46" s="1" t="s">
        <v>15</v>
      </c>
      <c r="E46" s="1" t="s">
        <v>16</v>
      </c>
      <c r="F46">
        <v>4</v>
      </c>
      <c r="G46">
        <v>49275</v>
      </c>
      <c r="H46" s="2">
        <v>44971</v>
      </c>
      <c r="I46">
        <v>197100</v>
      </c>
      <c r="J46">
        <v>9855</v>
      </c>
    </row>
    <row r="47" spans="1:10" x14ac:dyDescent="0.25">
      <c r="A47" s="1">
        <v>146</v>
      </c>
      <c r="B47" s="1" t="s">
        <v>17</v>
      </c>
      <c r="C47" s="1" t="s">
        <v>23</v>
      </c>
      <c r="D47" s="1" t="s">
        <v>18</v>
      </c>
      <c r="E47" s="1" t="s">
        <v>25</v>
      </c>
      <c r="F47">
        <v>9</v>
      </c>
      <c r="G47">
        <v>49594</v>
      </c>
      <c r="H47" s="2">
        <v>44972</v>
      </c>
      <c r="I47">
        <v>446346</v>
      </c>
      <c r="J47">
        <v>9918.7999999999993</v>
      </c>
    </row>
    <row r="48" spans="1:10" x14ac:dyDescent="0.25">
      <c r="A48" s="1">
        <v>147</v>
      </c>
      <c r="B48" s="1" t="s">
        <v>28</v>
      </c>
      <c r="C48" s="1" t="s">
        <v>20</v>
      </c>
      <c r="D48" s="1" t="s">
        <v>15</v>
      </c>
      <c r="E48" s="1" t="s">
        <v>25</v>
      </c>
      <c r="F48">
        <v>9</v>
      </c>
      <c r="G48">
        <v>2762</v>
      </c>
      <c r="H48" s="2">
        <v>44973</v>
      </c>
      <c r="I48">
        <v>24858</v>
      </c>
      <c r="J48">
        <v>552.4</v>
      </c>
    </row>
    <row r="49" spans="1:10" x14ac:dyDescent="0.25">
      <c r="A49" s="1">
        <v>148</v>
      </c>
      <c r="B49" s="1" t="s">
        <v>10</v>
      </c>
      <c r="C49" s="1" t="s">
        <v>11</v>
      </c>
      <c r="D49" s="1" t="s">
        <v>8</v>
      </c>
      <c r="E49" s="1" t="s">
        <v>16</v>
      </c>
      <c r="F49">
        <v>2</v>
      </c>
      <c r="G49">
        <v>32987</v>
      </c>
      <c r="H49" s="2">
        <v>44974</v>
      </c>
      <c r="I49">
        <v>65974</v>
      </c>
      <c r="J49">
        <v>6597.4</v>
      </c>
    </row>
    <row r="50" spans="1:10" x14ac:dyDescent="0.25">
      <c r="A50" s="1">
        <v>149</v>
      </c>
      <c r="B50" s="1" t="s">
        <v>6</v>
      </c>
      <c r="C50" s="1" t="s">
        <v>23</v>
      </c>
      <c r="D50" s="1" t="s">
        <v>18</v>
      </c>
      <c r="E50" s="1" t="s">
        <v>9</v>
      </c>
      <c r="F50">
        <v>8</v>
      </c>
      <c r="G50">
        <v>16850</v>
      </c>
      <c r="H50" s="2">
        <v>44975</v>
      </c>
      <c r="I50">
        <v>134800</v>
      </c>
      <c r="J50">
        <v>3370</v>
      </c>
    </row>
    <row r="51" spans="1:10" x14ac:dyDescent="0.25">
      <c r="A51" s="1">
        <v>150</v>
      </c>
      <c r="B51" s="1" t="s">
        <v>14</v>
      </c>
      <c r="C51" s="1" t="s">
        <v>7</v>
      </c>
      <c r="D51" s="1" t="s">
        <v>15</v>
      </c>
      <c r="E51" s="1" t="s">
        <v>13</v>
      </c>
      <c r="F51">
        <v>8</v>
      </c>
      <c r="G51">
        <v>13112</v>
      </c>
      <c r="H51" s="2">
        <v>44976</v>
      </c>
      <c r="I51">
        <v>104896</v>
      </c>
      <c r="J51">
        <v>2622.4</v>
      </c>
    </row>
    <row r="52" spans="1:10" x14ac:dyDescent="0.25">
      <c r="A52" s="1">
        <v>151</v>
      </c>
      <c r="B52" s="1" t="s">
        <v>22</v>
      </c>
      <c r="C52" s="1" t="s">
        <v>20</v>
      </c>
      <c r="D52" s="1" t="s">
        <v>18</v>
      </c>
      <c r="E52" s="1" t="s">
        <v>27</v>
      </c>
      <c r="F52">
        <v>7</v>
      </c>
      <c r="G52">
        <v>25058</v>
      </c>
      <c r="H52" s="2">
        <v>44977</v>
      </c>
      <c r="I52">
        <v>175406</v>
      </c>
      <c r="J52">
        <v>5011.6000000000004</v>
      </c>
    </row>
    <row r="53" spans="1:10" x14ac:dyDescent="0.25">
      <c r="A53" s="1">
        <v>152</v>
      </c>
      <c r="B53" s="1" t="s">
        <v>30</v>
      </c>
      <c r="C53" s="1" t="s">
        <v>23</v>
      </c>
      <c r="D53" s="1" t="s">
        <v>8</v>
      </c>
      <c r="E53" s="1" t="s">
        <v>24</v>
      </c>
      <c r="F53">
        <v>8</v>
      </c>
      <c r="G53">
        <v>46420</v>
      </c>
      <c r="H53" s="2">
        <v>44978</v>
      </c>
      <c r="I53">
        <v>371360</v>
      </c>
      <c r="J53">
        <v>9284</v>
      </c>
    </row>
    <row r="54" spans="1:10" x14ac:dyDescent="0.25">
      <c r="A54" s="1">
        <v>153</v>
      </c>
      <c r="B54" s="1" t="s">
        <v>10</v>
      </c>
      <c r="C54" s="1" t="s">
        <v>20</v>
      </c>
      <c r="D54" s="1" t="s">
        <v>15</v>
      </c>
      <c r="E54" s="1" t="s">
        <v>27</v>
      </c>
      <c r="F54">
        <v>3</v>
      </c>
      <c r="G54">
        <v>39890</v>
      </c>
      <c r="H54" s="2">
        <v>44979</v>
      </c>
      <c r="I54">
        <v>119670</v>
      </c>
      <c r="J54">
        <v>7978</v>
      </c>
    </row>
    <row r="55" spans="1:10" x14ac:dyDescent="0.25">
      <c r="A55" s="1">
        <v>154</v>
      </c>
      <c r="B55" s="1" t="s">
        <v>28</v>
      </c>
      <c r="C55" s="1" t="s">
        <v>23</v>
      </c>
      <c r="D55" s="1" t="s">
        <v>18</v>
      </c>
      <c r="E55" s="1" t="s">
        <v>19</v>
      </c>
      <c r="F55">
        <v>6</v>
      </c>
      <c r="G55">
        <v>1481</v>
      </c>
      <c r="H55" s="2">
        <v>44980</v>
      </c>
      <c r="I55">
        <v>8886</v>
      </c>
      <c r="J55">
        <v>296.2</v>
      </c>
    </row>
    <row r="56" spans="1:10" x14ac:dyDescent="0.25">
      <c r="A56" s="1">
        <v>155</v>
      </c>
      <c r="B56" s="1" t="s">
        <v>14</v>
      </c>
      <c r="C56" s="1" t="s">
        <v>20</v>
      </c>
      <c r="D56" s="1" t="s">
        <v>8</v>
      </c>
      <c r="E56" s="1" t="s">
        <v>16</v>
      </c>
      <c r="F56">
        <v>1</v>
      </c>
      <c r="G56">
        <v>48304</v>
      </c>
      <c r="H56" s="2">
        <v>44981</v>
      </c>
      <c r="I56">
        <v>48304</v>
      </c>
      <c r="J56">
        <v>9660.7999999999993</v>
      </c>
    </row>
    <row r="57" spans="1:10" x14ac:dyDescent="0.25">
      <c r="A57" s="1">
        <v>156</v>
      </c>
      <c r="B57" s="1" t="s">
        <v>10</v>
      </c>
      <c r="C57" s="1" t="s">
        <v>7</v>
      </c>
      <c r="D57" s="1" t="s">
        <v>18</v>
      </c>
      <c r="E57" s="1" t="s">
        <v>13</v>
      </c>
      <c r="F57">
        <v>7</v>
      </c>
      <c r="G57">
        <v>33921</v>
      </c>
      <c r="H57" s="2">
        <v>44982</v>
      </c>
      <c r="I57">
        <v>237447</v>
      </c>
      <c r="J57">
        <v>6784.2</v>
      </c>
    </row>
    <row r="58" spans="1:10" x14ac:dyDescent="0.25">
      <c r="A58" s="1">
        <v>157</v>
      </c>
      <c r="B58" s="1" t="s">
        <v>28</v>
      </c>
      <c r="C58" s="1" t="s">
        <v>11</v>
      </c>
      <c r="D58" s="1" t="s">
        <v>18</v>
      </c>
      <c r="E58" s="1" t="s">
        <v>24</v>
      </c>
      <c r="F58">
        <v>1</v>
      </c>
      <c r="G58">
        <v>41385</v>
      </c>
      <c r="H58" s="2">
        <v>44983</v>
      </c>
      <c r="I58">
        <v>41385</v>
      </c>
      <c r="J58">
        <v>8277</v>
      </c>
    </row>
    <row r="59" spans="1:10" x14ac:dyDescent="0.25">
      <c r="A59" s="1">
        <v>158</v>
      </c>
      <c r="B59" s="1" t="s">
        <v>26</v>
      </c>
      <c r="C59" s="1" t="s">
        <v>7</v>
      </c>
      <c r="D59" s="1" t="s">
        <v>12</v>
      </c>
      <c r="E59" s="1" t="s">
        <v>16</v>
      </c>
      <c r="F59">
        <v>9</v>
      </c>
      <c r="G59">
        <v>2524</v>
      </c>
      <c r="H59" s="2">
        <v>44984</v>
      </c>
      <c r="I59">
        <v>22716</v>
      </c>
      <c r="J59">
        <v>504.8</v>
      </c>
    </row>
    <row r="60" spans="1:10" x14ac:dyDescent="0.25">
      <c r="A60" s="1">
        <v>159</v>
      </c>
      <c r="B60" s="1" t="s">
        <v>26</v>
      </c>
      <c r="C60" s="1" t="s">
        <v>11</v>
      </c>
      <c r="D60" s="1" t="s">
        <v>12</v>
      </c>
      <c r="E60" s="1" t="s">
        <v>9</v>
      </c>
      <c r="F60">
        <v>1</v>
      </c>
      <c r="G60">
        <v>35888</v>
      </c>
      <c r="H60" s="2">
        <v>44985</v>
      </c>
      <c r="I60">
        <v>35888</v>
      </c>
      <c r="J60">
        <v>7177.6</v>
      </c>
    </row>
    <row r="61" spans="1:10" x14ac:dyDescent="0.25">
      <c r="A61" s="1">
        <v>160</v>
      </c>
      <c r="B61" s="1" t="s">
        <v>21</v>
      </c>
      <c r="C61" s="1" t="s">
        <v>20</v>
      </c>
      <c r="D61" s="1" t="s">
        <v>8</v>
      </c>
      <c r="E61" s="1" t="s">
        <v>25</v>
      </c>
      <c r="F61">
        <v>1</v>
      </c>
      <c r="G61">
        <v>16048</v>
      </c>
      <c r="H61" s="2">
        <v>44986</v>
      </c>
      <c r="I61">
        <v>16048</v>
      </c>
      <c r="J61">
        <v>3209.6</v>
      </c>
    </row>
    <row r="62" spans="1:10" x14ac:dyDescent="0.25">
      <c r="A62" s="1">
        <v>161</v>
      </c>
      <c r="B62" s="1" t="s">
        <v>10</v>
      </c>
      <c r="C62" s="1" t="s">
        <v>23</v>
      </c>
      <c r="D62" s="1" t="s">
        <v>12</v>
      </c>
      <c r="E62" s="1" t="s">
        <v>27</v>
      </c>
      <c r="F62">
        <v>7</v>
      </c>
      <c r="G62">
        <v>36111</v>
      </c>
      <c r="H62" s="2">
        <v>44987</v>
      </c>
      <c r="I62">
        <v>252777</v>
      </c>
      <c r="J62">
        <v>7222.2</v>
      </c>
    </row>
    <row r="63" spans="1:10" x14ac:dyDescent="0.25">
      <c r="A63" s="1">
        <v>162</v>
      </c>
      <c r="B63" s="1" t="s">
        <v>26</v>
      </c>
      <c r="C63" s="1" t="s">
        <v>7</v>
      </c>
      <c r="D63" s="1" t="s">
        <v>8</v>
      </c>
      <c r="E63" s="1" t="s">
        <v>29</v>
      </c>
      <c r="F63">
        <v>2</v>
      </c>
      <c r="G63">
        <v>38904</v>
      </c>
      <c r="H63" s="2">
        <v>44988</v>
      </c>
      <c r="I63">
        <v>77808</v>
      </c>
      <c r="J63">
        <v>7780.8</v>
      </c>
    </row>
    <row r="64" spans="1:10" x14ac:dyDescent="0.25">
      <c r="A64" s="1">
        <v>163</v>
      </c>
      <c r="B64" s="1" t="s">
        <v>28</v>
      </c>
      <c r="C64" s="1" t="s">
        <v>11</v>
      </c>
      <c r="D64" s="1" t="s">
        <v>12</v>
      </c>
      <c r="E64" s="1" t="s">
        <v>29</v>
      </c>
      <c r="F64">
        <v>5</v>
      </c>
      <c r="G64">
        <v>35008</v>
      </c>
      <c r="H64" s="2">
        <v>44989</v>
      </c>
      <c r="I64">
        <v>175040</v>
      </c>
      <c r="J64">
        <v>7001.6</v>
      </c>
    </row>
    <row r="65" spans="1:10" x14ac:dyDescent="0.25">
      <c r="A65" s="1">
        <v>164</v>
      </c>
      <c r="B65" s="1" t="s">
        <v>21</v>
      </c>
      <c r="C65" s="1" t="s">
        <v>7</v>
      </c>
      <c r="D65" s="1" t="s">
        <v>18</v>
      </c>
      <c r="E65" s="1" t="s">
        <v>13</v>
      </c>
      <c r="F65">
        <v>8</v>
      </c>
      <c r="G65">
        <v>1060</v>
      </c>
      <c r="H65" s="2">
        <v>44990</v>
      </c>
      <c r="I65">
        <v>8480</v>
      </c>
      <c r="J65">
        <v>212</v>
      </c>
    </row>
    <row r="66" spans="1:10" x14ac:dyDescent="0.25">
      <c r="A66" s="1">
        <v>165</v>
      </c>
      <c r="B66" s="1" t="s">
        <v>28</v>
      </c>
      <c r="C66" s="1" t="s">
        <v>11</v>
      </c>
      <c r="D66" s="1" t="s">
        <v>8</v>
      </c>
      <c r="E66" s="1" t="s">
        <v>9</v>
      </c>
      <c r="F66">
        <v>8</v>
      </c>
      <c r="G66">
        <v>10130</v>
      </c>
      <c r="H66" s="2">
        <v>44991</v>
      </c>
      <c r="I66">
        <v>81040</v>
      </c>
      <c r="J66">
        <v>2026</v>
      </c>
    </row>
    <row r="67" spans="1:10" x14ac:dyDescent="0.25">
      <c r="A67" s="1">
        <v>166</v>
      </c>
      <c r="B67" s="1" t="s">
        <v>21</v>
      </c>
      <c r="C67" s="1" t="s">
        <v>7</v>
      </c>
      <c r="D67" s="1" t="s">
        <v>8</v>
      </c>
      <c r="E67" s="1" t="s">
        <v>19</v>
      </c>
      <c r="F67">
        <v>3</v>
      </c>
      <c r="G67">
        <v>19023</v>
      </c>
      <c r="H67" s="2">
        <v>44992</v>
      </c>
      <c r="I67">
        <v>57069</v>
      </c>
      <c r="J67">
        <v>3804.6</v>
      </c>
    </row>
    <row r="68" spans="1:10" x14ac:dyDescent="0.25">
      <c r="A68" s="1">
        <v>167</v>
      </c>
      <c r="B68" s="1" t="s">
        <v>10</v>
      </c>
      <c r="C68" s="1" t="s">
        <v>11</v>
      </c>
      <c r="D68" s="1" t="s">
        <v>18</v>
      </c>
      <c r="E68" s="1" t="s">
        <v>27</v>
      </c>
      <c r="F68">
        <v>7</v>
      </c>
      <c r="G68">
        <v>46080</v>
      </c>
      <c r="H68" s="2">
        <v>44993</v>
      </c>
      <c r="I68">
        <v>322560</v>
      </c>
      <c r="J68">
        <v>9216</v>
      </c>
    </row>
    <row r="69" spans="1:10" x14ac:dyDescent="0.25">
      <c r="A69" s="1">
        <v>168</v>
      </c>
      <c r="B69" s="1" t="s">
        <v>14</v>
      </c>
      <c r="C69" s="1" t="s">
        <v>11</v>
      </c>
      <c r="D69" s="1" t="s">
        <v>8</v>
      </c>
      <c r="E69" s="1" t="s">
        <v>9</v>
      </c>
      <c r="F69">
        <v>3</v>
      </c>
      <c r="G69">
        <v>14350</v>
      </c>
      <c r="H69" s="2">
        <v>44994</v>
      </c>
      <c r="I69">
        <v>43050</v>
      </c>
      <c r="J69">
        <v>2870</v>
      </c>
    </row>
    <row r="70" spans="1:10" x14ac:dyDescent="0.25">
      <c r="A70" s="1">
        <v>169</v>
      </c>
      <c r="B70" s="1" t="s">
        <v>6</v>
      </c>
      <c r="C70" s="1" t="s">
        <v>20</v>
      </c>
      <c r="D70" s="1" t="s">
        <v>8</v>
      </c>
      <c r="E70" s="1" t="s">
        <v>27</v>
      </c>
      <c r="F70">
        <v>6</v>
      </c>
      <c r="G70">
        <v>25354</v>
      </c>
      <c r="H70" s="2">
        <v>44995</v>
      </c>
      <c r="I70">
        <v>152124</v>
      </c>
      <c r="J70">
        <v>5070.8</v>
      </c>
    </row>
    <row r="71" spans="1:10" x14ac:dyDescent="0.25">
      <c r="A71" s="1">
        <v>170</v>
      </c>
      <c r="B71" s="1" t="s">
        <v>31</v>
      </c>
      <c r="C71" s="1" t="s">
        <v>11</v>
      </c>
      <c r="D71" s="1" t="s">
        <v>12</v>
      </c>
      <c r="E71" s="1" t="s">
        <v>13</v>
      </c>
      <c r="F71">
        <v>6</v>
      </c>
      <c r="G71">
        <v>46186</v>
      </c>
      <c r="H71" s="2">
        <v>44996</v>
      </c>
      <c r="I71">
        <v>277116</v>
      </c>
      <c r="J71">
        <v>9237.2000000000007</v>
      </c>
    </row>
    <row r="72" spans="1:10" x14ac:dyDescent="0.25">
      <c r="A72" s="1">
        <v>171</v>
      </c>
      <c r="B72" s="1" t="s">
        <v>14</v>
      </c>
      <c r="C72" s="1" t="s">
        <v>20</v>
      </c>
      <c r="D72" s="1" t="s">
        <v>8</v>
      </c>
      <c r="E72" s="1" t="s">
        <v>13</v>
      </c>
      <c r="F72">
        <v>3</v>
      </c>
      <c r="G72">
        <v>29145</v>
      </c>
      <c r="H72" s="2">
        <v>44997</v>
      </c>
      <c r="I72">
        <v>87435</v>
      </c>
      <c r="J72">
        <v>5829</v>
      </c>
    </row>
    <row r="73" spans="1:10" x14ac:dyDescent="0.25">
      <c r="A73" s="1">
        <v>172</v>
      </c>
      <c r="B73" s="1" t="s">
        <v>17</v>
      </c>
      <c r="C73" s="1" t="s">
        <v>11</v>
      </c>
      <c r="D73" s="1" t="s">
        <v>15</v>
      </c>
      <c r="E73" s="1" t="s">
        <v>19</v>
      </c>
      <c r="F73">
        <v>7</v>
      </c>
      <c r="G73">
        <v>35020</v>
      </c>
      <c r="H73" s="2">
        <v>44998</v>
      </c>
      <c r="I73">
        <v>245140</v>
      </c>
      <c r="J73">
        <v>7004</v>
      </c>
    </row>
    <row r="74" spans="1:10" x14ac:dyDescent="0.25">
      <c r="A74" s="1">
        <v>173</v>
      </c>
      <c r="B74" s="1" t="s">
        <v>28</v>
      </c>
      <c r="C74" s="1" t="s">
        <v>23</v>
      </c>
      <c r="D74" s="1" t="s">
        <v>18</v>
      </c>
      <c r="E74" s="1" t="s">
        <v>29</v>
      </c>
      <c r="F74">
        <v>3</v>
      </c>
      <c r="G74">
        <v>21587</v>
      </c>
      <c r="H74" s="2">
        <v>44999</v>
      </c>
      <c r="I74">
        <v>64761</v>
      </c>
      <c r="J74">
        <v>4317.3999999999996</v>
      </c>
    </row>
    <row r="75" spans="1:10" x14ac:dyDescent="0.25">
      <c r="A75" s="1">
        <v>174</v>
      </c>
      <c r="B75" s="1" t="s">
        <v>17</v>
      </c>
      <c r="C75" s="1" t="s">
        <v>23</v>
      </c>
      <c r="D75" s="1" t="s">
        <v>12</v>
      </c>
      <c r="E75" s="1" t="s">
        <v>9</v>
      </c>
      <c r="F75">
        <v>8</v>
      </c>
      <c r="G75">
        <v>42131</v>
      </c>
      <c r="H75" s="2">
        <v>45000</v>
      </c>
      <c r="I75">
        <v>337048</v>
      </c>
      <c r="J75">
        <v>8426.2000000000007</v>
      </c>
    </row>
    <row r="76" spans="1:10" x14ac:dyDescent="0.25">
      <c r="A76" s="1">
        <v>175</v>
      </c>
      <c r="B76" s="1" t="s">
        <v>14</v>
      </c>
      <c r="C76" s="1" t="s">
        <v>23</v>
      </c>
      <c r="D76" s="1" t="s">
        <v>12</v>
      </c>
      <c r="E76" s="1" t="s">
        <v>24</v>
      </c>
      <c r="F76">
        <v>4</v>
      </c>
      <c r="G76">
        <v>10650</v>
      </c>
      <c r="H76" s="2">
        <v>45001</v>
      </c>
      <c r="I76">
        <v>42600</v>
      </c>
      <c r="J76">
        <v>2130</v>
      </c>
    </row>
    <row r="77" spans="1:10" x14ac:dyDescent="0.25">
      <c r="A77" s="1">
        <v>176</v>
      </c>
      <c r="B77" s="1" t="s">
        <v>21</v>
      </c>
      <c r="C77" s="1" t="s">
        <v>11</v>
      </c>
      <c r="D77" s="1" t="s">
        <v>15</v>
      </c>
      <c r="E77" s="1" t="s">
        <v>29</v>
      </c>
      <c r="F77">
        <v>1</v>
      </c>
      <c r="G77">
        <v>20933</v>
      </c>
      <c r="H77" s="2">
        <v>45002</v>
      </c>
      <c r="I77">
        <v>20933</v>
      </c>
      <c r="J77">
        <v>4186.6000000000004</v>
      </c>
    </row>
    <row r="78" spans="1:10" x14ac:dyDescent="0.25">
      <c r="A78" s="1">
        <v>177</v>
      </c>
      <c r="B78" s="1" t="s">
        <v>31</v>
      </c>
      <c r="C78" s="1" t="s">
        <v>20</v>
      </c>
      <c r="D78" s="1" t="s">
        <v>18</v>
      </c>
      <c r="E78" s="1" t="s">
        <v>9</v>
      </c>
      <c r="F78">
        <v>4</v>
      </c>
      <c r="G78">
        <v>21581</v>
      </c>
      <c r="H78" s="2">
        <v>45003</v>
      </c>
      <c r="I78">
        <v>86324</v>
      </c>
      <c r="J78">
        <v>4316.2</v>
      </c>
    </row>
    <row r="79" spans="1:10" x14ac:dyDescent="0.25">
      <c r="A79" s="1">
        <v>178</v>
      </c>
      <c r="B79" s="1" t="s">
        <v>31</v>
      </c>
      <c r="C79" s="1" t="s">
        <v>20</v>
      </c>
      <c r="D79" s="1" t="s">
        <v>18</v>
      </c>
      <c r="E79" s="1" t="s">
        <v>29</v>
      </c>
      <c r="F79">
        <v>7</v>
      </c>
      <c r="G79">
        <v>24393</v>
      </c>
      <c r="H79" s="2">
        <v>45004</v>
      </c>
      <c r="I79">
        <v>170751</v>
      </c>
      <c r="J79">
        <v>4878.6000000000004</v>
      </c>
    </row>
    <row r="80" spans="1:10" x14ac:dyDescent="0.25">
      <c r="A80" s="1">
        <v>179</v>
      </c>
      <c r="B80" s="1" t="s">
        <v>30</v>
      </c>
      <c r="C80" s="1" t="s">
        <v>11</v>
      </c>
      <c r="D80" s="1" t="s">
        <v>12</v>
      </c>
      <c r="E80" s="1" t="s">
        <v>24</v>
      </c>
      <c r="F80">
        <v>4</v>
      </c>
      <c r="G80">
        <v>24051</v>
      </c>
      <c r="H80" s="2">
        <v>45005</v>
      </c>
      <c r="I80">
        <v>96204</v>
      </c>
      <c r="J80">
        <v>4810.2</v>
      </c>
    </row>
    <row r="81" spans="1:10" x14ac:dyDescent="0.25">
      <c r="A81" s="1">
        <v>180</v>
      </c>
      <c r="B81" s="1" t="s">
        <v>31</v>
      </c>
      <c r="C81" s="1" t="s">
        <v>23</v>
      </c>
      <c r="D81" s="1" t="s">
        <v>8</v>
      </c>
      <c r="E81" s="1" t="s">
        <v>25</v>
      </c>
      <c r="F81">
        <v>6</v>
      </c>
      <c r="G81">
        <v>27212</v>
      </c>
      <c r="H81" s="2">
        <v>45006</v>
      </c>
      <c r="I81">
        <v>163272</v>
      </c>
      <c r="J81">
        <v>5442.4</v>
      </c>
    </row>
    <row r="82" spans="1:10" x14ac:dyDescent="0.25">
      <c r="A82" s="1">
        <v>181</v>
      </c>
      <c r="B82" s="1" t="s">
        <v>6</v>
      </c>
      <c r="C82" s="1" t="s">
        <v>23</v>
      </c>
      <c r="D82" s="1" t="s">
        <v>12</v>
      </c>
      <c r="E82" s="1" t="s">
        <v>25</v>
      </c>
      <c r="F82">
        <v>9</v>
      </c>
      <c r="G82">
        <v>5090</v>
      </c>
      <c r="H82" s="2">
        <v>45007</v>
      </c>
      <c r="I82">
        <v>45810</v>
      </c>
      <c r="J82">
        <v>1018</v>
      </c>
    </row>
    <row r="83" spans="1:10" x14ac:dyDescent="0.25">
      <c r="A83" s="1">
        <v>182</v>
      </c>
      <c r="B83" s="1" t="s">
        <v>31</v>
      </c>
      <c r="C83" s="1" t="s">
        <v>20</v>
      </c>
      <c r="D83" s="1" t="s">
        <v>18</v>
      </c>
      <c r="E83" s="1" t="s">
        <v>19</v>
      </c>
      <c r="F83">
        <v>1</v>
      </c>
      <c r="G83">
        <v>7960</v>
      </c>
      <c r="H83" s="2">
        <v>45008</v>
      </c>
      <c r="I83">
        <v>7960</v>
      </c>
      <c r="J83">
        <v>1592</v>
      </c>
    </row>
    <row r="84" spans="1:10" x14ac:dyDescent="0.25">
      <c r="A84" s="1">
        <v>183</v>
      </c>
      <c r="B84" s="1" t="s">
        <v>14</v>
      </c>
      <c r="C84" s="1" t="s">
        <v>23</v>
      </c>
      <c r="D84" s="1" t="s">
        <v>15</v>
      </c>
      <c r="E84" s="1" t="s">
        <v>25</v>
      </c>
      <c r="F84">
        <v>5</v>
      </c>
      <c r="G84">
        <v>36772</v>
      </c>
      <c r="H84" s="2">
        <v>45009</v>
      </c>
      <c r="I84">
        <v>183860</v>
      </c>
      <c r="J84">
        <v>7354.4</v>
      </c>
    </row>
    <row r="85" spans="1:10" x14ac:dyDescent="0.25">
      <c r="A85" s="1">
        <v>184</v>
      </c>
      <c r="B85" s="1" t="s">
        <v>30</v>
      </c>
      <c r="C85" s="1" t="s">
        <v>7</v>
      </c>
      <c r="D85" s="1" t="s">
        <v>12</v>
      </c>
      <c r="E85" s="1" t="s">
        <v>25</v>
      </c>
      <c r="F85">
        <v>7</v>
      </c>
      <c r="G85">
        <v>22520</v>
      </c>
      <c r="H85" s="2">
        <v>45010</v>
      </c>
      <c r="I85">
        <v>157640</v>
      </c>
      <c r="J85">
        <v>4504</v>
      </c>
    </row>
    <row r="86" spans="1:10" x14ac:dyDescent="0.25">
      <c r="A86" s="1">
        <v>185</v>
      </c>
      <c r="B86" s="1" t="s">
        <v>14</v>
      </c>
      <c r="C86" s="1" t="s">
        <v>20</v>
      </c>
      <c r="D86" s="1" t="s">
        <v>18</v>
      </c>
      <c r="E86" s="1" t="s">
        <v>16</v>
      </c>
      <c r="F86">
        <v>1</v>
      </c>
      <c r="G86">
        <v>37408</v>
      </c>
      <c r="H86" s="2">
        <v>45011</v>
      </c>
      <c r="I86">
        <v>37408</v>
      </c>
      <c r="J86">
        <v>7481.6</v>
      </c>
    </row>
    <row r="87" spans="1:10" x14ac:dyDescent="0.25">
      <c r="A87" s="1">
        <v>186</v>
      </c>
      <c r="B87" s="1" t="s">
        <v>14</v>
      </c>
      <c r="C87" s="1" t="s">
        <v>23</v>
      </c>
      <c r="D87" s="1" t="s">
        <v>12</v>
      </c>
      <c r="E87" s="1" t="s">
        <v>27</v>
      </c>
      <c r="F87">
        <v>4</v>
      </c>
      <c r="G87">
        <v>29470</v>
      </c>
      <c r="H87" s="2">
        <v>45012</v>
      </c>
      <c r="I87">
        <v>117880</v>
      </c>
      <c r="J87">
        <v>5894</v>
      </c>
    </row>
    <row r="88" spans="1:10" x14ac:dyDescent="0.25">
      <c r="A88" s="1">
        <v>187</v>
      </c>
      <c r="B88" s="1" t="s">
        <v>22</v>
      </c>
      <c r="C88" s="1" t="s">
        <v>20</v>
      </c>
      <c r="D88" s="1" t="s">
        <v>8</v>
      </c>
      <c r="E88" s="1" t="s">
        <v>16</v>
      </c>
      <c r="F88">
        <v>6</v>
      </c>
      <c r="G88">
        <v>21491</v>
      </c>
      <c r="H88" s="2">
        <v>45013</v>
      </c>
      <c r="I88">
        <v>128946</v>
      </c>
      <c r="J88">
        <v>4298.2</v>
      </c>
    </row>
    <row r="89" spans="1:10" x14ac:dyDescent="0.25">
      <c r="A89" s="1">
        <v>188</v>
      </c>
      <c r="B89" s="1" t="s">
        <v>30</v>
      </c>
      <c r="C89" s="1" t="s">
        <v>7</v>
      </c>
      <c r="D89" s="1" t="s">
        <v>12</v>
      </c>
      <c r="E89" s="1" t="s">
        <v>16</v>
      </c>
      <c r="F89">
        <v>2</v>
      </c>
      <c r="G89">
        <v>2341</v>
      </c>
      <c r="H89" s="2">
        <v>45014</v>
      </c>
      <c r="I89">
        <v>4682</v>
      </c>
      <c r="J89">
        <v>468.2</v>
      </c>
    </row>
    <row r="90" spans="1:10" x14ac:dyDescent="0.25">
      <c r="A90" s="1">
        <v>189</v>
      </c>
      <c r="B90" s="1" t="s">
        <v>14</v>
      </c>
      <c r="C90" s="1" t="s">
        <v>20</v>
      </c>
      <c r="D90" s="1" t="s">
        <v>12</v>
      </c>
      <c r="E90" s="1" t="s">
        <v>19</v>
      </c>
      <c r="F90">
        <v>5</v>
      </c>
      <c r="G90">
        <v>45623</v>
      </c>
      <c r="H90" s="2">
        <v>45015</v>
      </c>
      <c r="I90">
        <v>228115</v>
      </c>
      <c r="J90">
        <v>9124.6</v>
      </c>
    </row>
    <row r="91" spans="1:10" x14ac:dyDescent="0.25">
      <c r="A91" s="1">
        <v>190</v>
      </c>
      <c r="B91" s="1" t="s">
        <v>22</v>
      </c>
      <c r="C91" s="1" t="s">
        <v>20</v>
      </c>
      <c r="D91" s="1" t="s">
        <v>18</v>
      </c>
      <c r="E91" s="1" t="s">
        <v>16</v>
      </c>
      <c r="F91">
        <v>1</v>
      </c>
      <c r="G91">
        <v>25791</v>
      </c>
      <c r="H91" s="2">
        <v>45016</v>
      </c>
      <c r="I91">
        <v>25791</v>
      </c>
      <c r="J91">
        <v>5158.2</v>
      </c>
    </row>
    <row r="92" spans="1:10" x14ac:dyDescent="0.25">
      <c r="A92" s="1">
        <v>191</v>
      </c>
      <c r="B92" s="1" t="s">
        <v>22</v>
      </c>
      <c r="C92" s="1" t="s">
        <v>20</v>
      </c>
      <c r="D92" s="1" t="s">
        <v>18</v>
      </c>
      <c r="E92" s="1" t="s">
        <v>25</v>
      </c>
      <c r="F92">
        <v>6</v>
      </c>
      <c r="G92">
        <v>1338</v>
      </c>
      <c r="H92" s="2">
        <v>45017</v>
      </c>
      <c r="I92">
        <v>8028</v>
      </c>
      <c r="J92">
        <v>267.60000000000002</v>
      </c>
    </row>
    <row r="93" spans="1:10" x14ac:dyDescent="0.25">
      <c r="A93" s="1">
        <v>192</v>
      </c>
      <c r="B93" s="1" t="s">
        <v>30</v>
      </c>
      <c r="C93" s="1" t="s">
        <v>20</v>
      </c>
      <c r="D93" s="1" t="s">
        <v>18</v>
      </c>
      <c r="E93" s="1" t="s">
        <v>24</v>
      </c>
      <c r="F93">
        <v>6</v>
      </c>
      <c r="G93">
        <v>6895</v>
      </c>
      <c r="H93" s="2">
        <v>45018</v>
      </c>
      <c r="I93">
        <v>41370</v>
      </c>
      <c r="J93">
        <v>1379</v>
      </c>
    </row>
    <row r="94" spans="1:10" x14ac:dyDescent="0.25">
      <c r="A94" s="1">
        <v>193</v>
      </c>
      <c r="B94" s="1" t="s">
        <v>17</v>
      </c>
      <c r="C94" s="1" t="s">
        <v>7</v>
      </c>
      <c r="D94" s="1" t="s">
        <v>12</v>
      </c>
      <c r="E94" s="1" t="s">
        <v>19</v>
      </c>
      <c r="F94">
        <v>4</v>
      </c>
      <c r="G94">
        <v>13254</v>
      </c>
      <c r="H94" s="2">
        <v>45019</v>
      </c>
      <c r="I94">
        <v>53016</v>
      </c>
      <c r="J94">
        <v>2650.8</v>
      </c>
    </row>
    <row r="95" spans="1:10" x14ac:dyDescent="0.25">
      <c r="A95" s="1">
        <v>194</v>
      </c>
      <c r="B95" s="1" t="s">
        <v>21</v>
      </c>
      <c r="C95" s="1" t="s">
        <v>11</v>
      </c>
      <c r="D95" s="1" t="s">
        <v>8</v>
      </c>
      <c r="E95" s="1" t="s">
        <v>19</v>
      </c>
      <c r="F95">
        <v>8</v>
      </c>
      <c r="G95">
        <v>12344</v>
      </c>
      <c r="H95" s="2">
        <v>45020</v>
      </c>
      <c r="I95">
        <v>98752</v>
      </c>
      <c r="J95">
        <v>2468.8000000000002</v>
      </c>
    </row>
    <row r="96" spans="1:10" x14ac:dyDescent="0.25">
      <c r="A96" s="1">
        <v>195</v>
      </c>
      <c r="B96" s="1" t="s">
        <v>6</v>
      </c>
      <c r="C96" s="1" t="s">
        <v>20</v>
      </c>
      <c r="D96" s="1" t="s">
        <v>15</v>
      </c>
      <c r="E96" s="1" t="s">
        <v>13</v>
      </c>
      <c r="F96">
        <v>4</v>
      </c>
      <c r="G96">
        <v>2750</v>
      </c>
      <c r="H96" s="2">
        <v>45021</v>
      </c>
      <c r="I96">
        <v>11000</v>
      </c>
      <c r="J96">
        <v>550</v>
      </c>
    </row>
    <row r="97" spans="1:10" x14ac:dyDescent="0.25">
      <c r="A97" s="1">
        <v>196</v>
      </c>
      <c r="B97" s="1" t="s">
        <v>21</v>
      </c>
      <c r="C97" s="1" t="s">
        <v>20</v>
      </c>
      <c r="D97" s="1" t="s">
        <v>15</v>
      </c>
      <c r="E97" s="1" t="s">
        <v>19</v>
      </c>
      <c r="F97">
        <v>8</v>
      </c>
      <c r="G97">
        <v>3421</v>
      </c>
      <c r="H97" s="2">
        <v>45022</v>
      </c>
      <c r="I97">
        <v>27368</v>
      </c>
      <c r="J97">
        <v>684.2</v>
      </c>
    </row>
    <row r="98" spans="1:10" x14ac:dyDescent="0.25">
      <c r="A98" s="1">
        <v>197</v>
      </c>
      <c r="B98" s="1" t="s">
        <v>31</v>
      </c>
      <c r="C98" s="1" t="s">
        <v>23</v>
      </c>
      <c r="D98" s="1" t="s">
        <v>18</v>
      </c>
      <c r="E98" s="1" t="s">
        <v>13</v>
      </c>
      <c r="F98">
        <v>8</v>
      </c>
      <c r="G98">
        <v>40887</v>
      </c>
      <c r="H98" s="2">
        <v>45023</v>
      </c>
      <c r="I98">
        <v>327096</v>
      </c>
      <c r="J98">
        <v>8177.4</v>
      </c>
    </row>
    <row r="99" spans="1:10" x14ac:dyDescent="0.25">
      <c r="A99" s="1">
        <v>198</v>
      </c>
      <c r="B99" s="1" t="s">
        <v>6</v>
      </c>
      <c r="C99" s="1" t="s">
        <v>20</v>
      </c>
      <c r="D99" s="1" t="s">
        <v>18</v>
      </c>
      <c r="E99" s="1" t="s">
        <v>19</v>
      </c>
      <c r="F99">
        <v>5</v>
      </c>
      <c r="G99">
        <v>6319</v>
      </c>
      <c r="H99" s="2">
        <v>45024</v>
      </c>
      <c r="I99">
        <v>31595</v>
      </c>
      <c r="J99">
        <v>1263.8</v>
      </c>
    </row>
    <row r="100" spans="1:10" x14ac:dyDescent="0.25">
      <c r="A100" s="1">
        <v>199</v>
      </c>
      <c r="B100" s="1" t="s">
        <v>31</v>
      </c>
      <c r="C100" s="1" t="s">
        <v>23</v>
      </c>
      <c r="D100" s="1" t="s">
        <v>12</v>
      </c>
      <c r="E100" s="1" t="s">
        <v>27</v>
      </c>
      <c r="F100">
        <v>4</v>
      </c>
      <c r="G100">
        <v>16896</v>
      </c>
      <c r="H100" s="2">
        <v>45025</v>
      </c>
      <c r="I100">
        <v>67584</v>
      </c>
      <c r="J100">
        <v>3379.2</v>
      </c>
    </row>
    <row r="101" spans="1:10" x14ac:dyDescent="0.25">
      <c r="A101" s="1">
        <v>200</v>
      </c>
      <c r="B101" s="1" t="s">
        <v>14</v>
      </c>
      <c r="C101" s="1" t="s">
        <v>11</v>
      </c>
      <c r="D101" s="1" t="s">
        <v>15</v>
      </c>
      <c r="E101" s="1" t="s">
        <v>25</v>
      </c>
      <c r="F101">
        <v>2</v>
      </c>
      <c r="G101">
        <v>12918</v>
      </c>
      <c r="H101" s="2">
        <v>45026</v>
      </c>
      <c r="I101">
        <v>25836</v>
      </c>
      <c r="J101">
        <v>2583.6</v>
      </c>
    </row>
    <row r="102" spans="1:10" x14ac:dyDescent="0.25">
      <c r="A102" s="1">
        <v>201</v>
      </c>
      <c r="B102" s="1" t="s">
        <v>28</v>
      </c>
      <c r="C102" s="1" t="s">
        <v>7</v>
      </c>
      <c r="D102" s="1" t="s">
        <v>18</v>
      </c>
      <c r="E102" s="1" t="s">
        <v>19</v>
      </c>
      <c r="F102">
        <v>3</v>
      </c>
      <c r="G102">
        <v>26064</v>
      </c>
      <c r="H102" s="2">
        <v>45027</v>
      </c>
      <c r="I102">
        <v>78192</v>
      </c>
      <c r="J102">
        <v>5212.8</v>
      </c>
    </row>
    <row r="103" spans="1:10" x14ac:dyDescent="0.25">
      <c r="A103" s="1">
        <v>202</v>
      </c>
      <c r="B103" s="1" t="s">
        <v>30</v>
      </c>
      <c r="C103" s="1" t="s">
        <v>7</v>
      </c>
      <c r="D103" s="1" t="s">
        <v>8</v>
      </c>
      <c r="E103" s="1" t="s">
        <v>25</v>
      </c>
      <c r="F103">
        <v>3</v>
      </c>
      <c r="G103">
        <v>47617</v>
      </c>
      <c r="H103" s="2">
        <v>45028</v>
      </c>
      <c r="I103">
        <v>142851</v>
      </c>
      <c r="J103">
        <v>9523.4</v>
      </c>
    </row>
    <row r="104" spans="1:10" x14ac:dyDescent="0.25">
      <c r="A104" s="1">
        <v>203</v>
      </c>
      <c r="B104" s="1" t="s">
        <v>6</v>
      </c>
      <c r="C104" s="1" t="s">
        <v>11</v>
      </c>
      <c r="D104" s="1" t="s">
        <v>8</v>
      </c>
      <c r="E104" s="1" t="s">
        <v>25</v>
      </c>
      <c r="F104">
        <v>4</v>
      </c>
      <c r="G104">
        <v>28935</v>
      </c>
      <c r="H104" s="2">
        <v>45029</v>
      </c>
      <c r="I104">
        <v>115740</v>
      </c>
      <c r="J104">
        <v>5787</v>
      </c>
    </row>
    <row r="105" spans="1:10" x14ac:dyDescent="0.25">
      <c r="A105" s="1">
        <v>204</v>
      </c>
      <c r="B105" s="1" t="s">
        <v>6</v>
      </c>
      <c r="C105" s="1" t="s">
        <v>7</v>
      </c>
      <c r="D105" s="1" t="s">
        <v>18</v>
      </c>
      <c r="E105" s="1" t="s">
        <v>29</v>
      </c>
      <c r="F105">
        <v>4</v>
      </c>
      <c r="G105">
        <v>38641</v>
      </c>
      <c r="H105" s="2">
        <v>45030</v>
      </c>
      <c r="I105">
        <v>154564</v>
      </c>
      <c r="J105">
        <v>7728.2</v>
      </c>
    </row>
    <row r="106" spans="1:10" x14ac:dyDescent="0.25">
      <c r="A106" s="1">
        <v>205</v>
      </c>
      <c r="B106" s="1" t="s">
        <v>14</v>
      </c>
      <c r="C106" s="1" t="s">
        <v>11</v>
      </c>
      <c r="D106" s="1" t="s">
        <v>18</v>
      </c>
      <c r="E106" s="1" t="s">
        <v>19</v>
      </c>
      <c r="F106">
        <v>5</v>
      </c>
      <c r="G106">
        <v>30711</v>
      </c>
      <c r="H106" s="2">
        <v>45031</v>
      </c>
      <c r="I106">
        <v>153555</v>
      </c>
      <c r="J106">
        <v>6142.2</v>
      </c>
    </row>
    <row r="107" spans="1:10" x14ac:dyDescent="0.25">
      <c r="A107" s="1">
        <v>206</v>
      </c>
      <c r="B107" s="1" t="s">
        <v>17</v>
      </c>
      <c r="C107" s="1" t="s">
        <v>11</v>
      </c>
      <c r="D107" s="1" t="s">
        <v>15</v>
      </c>
      <c r="E107" s="1" t="s">
        <v>9</v>
      </c>
      <c r="F107">
        <v>4</v>
      </c>
      <c r="G107">
        <v>5806</v>
      </c>
      <c r="H107" s="2">
        <v>45032</v>
      </c>
      <c r="I107">
        <v>23224</v>
      </c>
      <c r="J107">
        <v>1161.2</v>
      </c>
    </row>
    <row r="108" spans="1:10" x14ac:dyDescent="0.25">
      <c r="A108" s="1">
        <v>207</v>
      </c>
      <c r="B108" s="1" t="s">
        <v>22</v>
      </c>
      <c r="C108" s="1" t="s">
        <v>11</v>
      </c>
      <c r="D108" s="1" t="s">
        <v>15</v>
      </c>
      <c r="E108" s="1" t="s">
        <v>29</v>
      </c>
      <c r="F108">
        <v>8</v>
      </c>
      <c r="G108">
        <v>42360</v>
      </c>
      <c r="H108" s="2">
        <v>45033</v>
      </c>
      <c r="I108">
        <v>338880</v>
      </c>
      <c r="J108">
        <v>8472</v>
      </c>
    </row>
    <row r="109" spans="1:10" x14ac:dyDescent="0.25">
      <c r="A109" s="1">
        <v>208</v>
      </c>
      <c r="B109" s="1" t="s">
        <v>14</v>
      </c>
      <c r="C109" s="1" t="s">
        <v>7</v>
      </c>
      <c r="D109" s="1" t="s">
        <v>12</v>
      </c>
      <c r="E109" s="1" t="s">
        <v>9</v>
      </c>
      <c r="F109">
        <v>6</v>
      </c>
      <c r="G109">
        <v>13182</v>
      </c>
      <c r="H109" s="2">
        <v>45034</v>
      </c>
      <c r="I109">
        <v>79092</v>
      </c>
      <c r="J109">
        <v>2636.4</v>
      </c>
    </row>
    <row r="110" spans="1:10" x14ac:dyDescent="0.25">
      <c r="A110" s="1">
        <v>209</v>
      </c>
      <c r="B110" s="1" t="s">
        <v>26</v>
      </c>
      <c r="C110" s="1" t="s">
        <v>23</v>
      </c>
      <c r="D110" s="1" t="s">
        <v>15</v>
      </c>
      <c r="E110" s="1" t="s">
        <v>25</v>
      </c>
      <c r="F110">
        <v>6</v>
      </c>
      <c r="G110">
        <v>23297</v>
      </c>
      <c r="H110" s="2">
        <v>45035</v>
      </c>
      <c r="I110">
        <v>139782</v>
      </c>
      <c r="J110">
        <v>4659.3999999999996</v>
      </c>
    </row>
    <row r="111" spans="1:10" x14ac:dyDescent="0.25">
      <c r="A111" s="1">
        <v>210</v>
      </c>
      <c r="B111" s="1" t="s">
        <v>22</v>
      </c>
      <c r="C111" s="1" t="s">
        <v>11</v>
      </c>
      <c r="D111" s="1" t="s">
        <v>8</v>
      </c>
      <c r="E111" s="1" t="s">
        <v>25</v>
      </c>
      <c r="F111">
        <v>8</v>
      </c>
      <c r="G111">
        <v>20541</v>
      </c>
      <c r="H111" s="2">
        <v>45036</v>
      </c>
      <c r="I111">
        <v>164328</v>
      </c>
      <c r="J111">
        <v>4108.2</v>
      </c>
    </row>
    <row r="112" spans="1:10" x14ac:dyDescent="0.25">
      <c r="A112" s="1">
        <v>211</v>
      </c>
      <c r="B112" s="1" t="s">
        <v>30</v>
      </c>
      <c r="C112" s="1" t="s">
        <v>20</v>
      </c>
      <c r="D112" s="1" t="s">
        <v>8</v>
      </c>
      <c r="E112" s="1" t="s">
        <v>29</v>
      </c>
      <c r="F112">
        <v>7</v>
      </c>
      <c r="G112">
        <v>29921</v>
      </c>
      <c r="H112" s="2">
        <v>45037</v>
      </c>
      <c r="I112">
        <v>209447</v>
      </c>
      <c r="J112">
        <v>5984.2</v>
      </c>
    </row>
    <row r="113" spans="1:10" x14ac:dyDescent="0.25">
      <c r="A113" s="1">
        <v>212</v>
      </c>
      <c r="B113" s="1" t="s">
        <v>22</v>
      </c>
      <c r="C113" s="1" t="s">
        <v>7</v>
      </c>
      <c r="D113" s="1" t="s">
        <v>18</v>
      </c>
      <c r="E113" s="1" t="s">
        <v>29</v>
      </c>
      <c r="F113">
        <v>8</v>
      </c>
      <c r="G113">
        <v>17774</v>
      </c>
      <c r="H113" s="2">
        <v>45038</v>
      </c>
      <c r="I113">
        <v>142192</v>
      </c>
      <c r="J113">
        <v>3554.8</v>
      </c>
    </row>
    <row r="114" spans="1:10" x14ac:dyDescent="0.25">
      <c r="A114" s="1">
        <v>213</v>
      </c>
      <c r="B114" s="1" t="s">
        <v>17</v>
      </c>
      <c r="C114" s="1" t="s">
        <v>11</v>
      </c>
      <c r="D114" s="1" t="s">
        <v>15</v>
      </c>
      <c r="E114" s="1" t="s">
        <v>9</v>
      </c>
      <c r="F114">
        <v>2</v>
      </c>
      <c r="G114">
        <v>45813</v>
      </c>
      <c r="H114" s="2">
        <v>45039</v>
      </c>
      <c r="I114">
        <v>91626</v>
      </c>
      <c r="J114">
        <v>9162.6</v>
      </c>
    </row>
    <row r="115" spans="1:10" x14ac:dyDescent="0.25">
      <c r="A115" s="1">
        <v>214</v>
      </c>
      <c r="B115" s="1" t="s">
        <v>22</v>
      </c>
      <c r="C115" s="1" t="s">
        <v>11</v>
      </c>
      <c r="D115" s="1" t="s">
        <v>12</v>
      </c>
      <c r="E115" s="1" t="s">
        <v>13</v>
      </c>
      <c r="F115">
        <v>9</v>
      </c>
      <c r="G115">
        <v>38198</v>
      </c>
      <c r="H115" s="2">
        <v>45040</v>
      </c>
      <c r="I115">
        <v>343782</v>
      </c>
      <c r="J115">
        <v>7639.6</v>
      </c>
    </row>
    <row r="116" spans="1:10" x14ac:dyDescent="0.25">
      <c r="A116" s="1">
        <v>215</v>
      </c>
      <c r="B116" s="1" t="s">
        <v>30</v>
      </c>
      <c r="C116" s="1" t="s">
        <v>20</v>
      </c>
      <c r="D116" s="1" t="s">
        <v>8</v>
      </c>
      <c r="E116" s="1" t="s">
        <v>9</v>
      </c>
      <c r="F116">
        <v>1</v>
      </c>
      <c r="G116">
        <v>9820</v>
      </c>
      <c r="H116" s="2">
        <v>45041</v>
      </c>
      <c r="I116">
        <v>9820</v>
      </c>
      <c r="J116">
        <v>1964</v>
      </c>
    </row>
    <row r="117" spans="1:10" x14ac:dyDescent="0.25">
      <c r="A117" s="1">
        <v>216</v>
      </c>
      <c r="B117" s="1" t="s">
        <v>17</v>
      </c>
      <c r="C117" s="1" t="s">
        <v>23</v>
      </c>
      <c r="D117" s="1" t="s">
        <v>8</v>
      </c>
      <c r="E117" s="1" t="s">
        <v>29</v>
      </c>
      <c r="F117">
        <v>8</v>
      </c>
      <c r="G117">
        <v>25070</v>
      </c>
      <c r="H117" s="2">
        <v>45042</v>
      </c>
      <c r="I117">
        <v>200560</v>
      </c>
      <c r="J117">
        <v>5014</v>
      </c>
    </row>
    <row r="118" spans="1:10" x14ac:dyDescent="0.25">
      <c r="A118" s="1">
        <v>217</v>
      </c>
      <c r="B118" s="1" t="s">
        <v>21</v>
      </c>
      <c r="C118" s="1" t="s">
        <v>23</v>
      </c>
      <c r="D118" s="1" t="s">
        <v>12</v>
      </c>
      <c r="E118" s="1" t="s">
        <v>24</v>
      </c>
      <c r="F118">
        <v>4</v>
      </c>
      <c r="G118">
        <v>5232</v>
      </c>
      <c r="H118" s="2">
        <v>45043</v>
      </c>
      <c r="I118">
        <v>20928</v>
      </c>
      <c r="J118">
        <v>1046.4000000000001</v>
      </c>
    </row>
    <row r="119" spans="1:10" x14ac:dyDescent="0.25">
      <c r="A119" s="1">
        <v>218</v>
      </c>
      <c r="B119" s="1" t="s">
        <v>6</v>
      </c>
      <c r="C119" s="1" t="s">
        <v>23</v>
      </c>
      <c r="D119" s="1" t="s">
        <v>12</v>
      </c>
      <c r="E119" s="1" t="s">
        <v>29</v>
      </c>
      <c r="F119">
        <v>4</v>
      </c>
      <c r="G119">
        <v>12122</v>
      </c>
      <c r="H119" s="2">
        <v>45044</v>
      </c>
      <c r="I119">
        <v>48488</v>
      </c>
      <c r="J119">
        <v>2424.4</v>
      </c>
    </row>
    <row r="120" spans="1:10" x14ac:dyDescent="0.25">
      <c r="A120" s="1">
        <v>219</v>
      </c>
      <c r="B120" s="1" t="s">
        <v>6</v>
      </c>
      <c r="C120" s="1" t="s">
        <v>11</v>
      </c>
      <c r="D120" s="1" t="s">
        <v>8</v>
      </c>
      <c r="E120" s="1" t="s">
        <v>24</v>
      </c>
      <c r="F120">
        <v>5</v>
      </c>
      <c r="G120">
        <v>16023</v>
      </c>
      <c r="H120" s="2">
        <v>45045</v>
      </c>
      <c r="I120">
        <v>80115</v>
      </c>
      <c r="J120">
        <v>3204.6</v>
      </c>
    </row>
    <row r="121" spans="1:10" x14ac:dyDescent="0.25">
      <c r="A121" s="1">
        <v>220</v>
      </c>
      <c r="B121" s="1" t="s">
        <v>31</v>
      </c>
      <c r="C121" s="1" t="s">
        <v>11</v>
      </c>
      <c r="D121" s="1" t="s">
        <v>8</v>
      </c>
      <c r="E121" s="1" t="s">
        <v>27</v>
      </c>
      <c r="F121">
        <v>8</v>
      </c>
      <c r="G121">
        <v>9007</v>
      </c>
      <c r="H121" s="2">
        <v>45046</v>
      </c>
      <c r="I121">
        <v>72056</v>
      </c>
      <c r="J121">
        <v>1801.4</v>
      </c>
    </row>
    <row r="122" spans="1:10" x14ac:dyDescent="0.25">
      <c r="A122" s="1">
        <v>221</v>
      </c>
      <c r="B122" s="1" t="s">
        <v>21</v>
      </c>
      <c r="C122" s="1" t="s">
        <v>11</v>
      </c>
      <c r="D122" s="1" t="s">
        <v>12</v>
      </c>
      <c r="E122" s="1" t="s">
        <v>29</v>
      </c>
      <c r="F122">
        <v>5</v>
      </c>
      <c r="G122">
        <v>18905</v>
      </c>
      <c r="H122" s="2">
        <v>45047</v>
      </c>
      <c r="I122">
        <v>94525</v>
      </c>
      <c r="J122">
        <v>3781</v>
      </c>
    </row>
    <row r="123" spans="1:10" x14ac:dyDescent="0.25">
      <c r="A123" s="1">
        <v>222</v>
      </c>
      <c r="B123" s="1" t="s">
        <v>21</v>
      </c>
      <c r="C123" s="1" t="s">
        <v>7</v>
      </c>
      <c r="D123" s="1" t="s">
        <v>8</v>
      </c>
      <c r="E123" s="1" t="s">
        <v>27</v>
      </c>
      <c r="F123">
        <v>8</v>
      </c>
      <c r="G123">
        <v>42786</v>
      </c>
      <c r="H123" s="2">
        <v>45048</v>
      </c>
      <c r="I123">
        <v>342288</v>
      </c>
      <c r="J123">
        <v>8557.2000000000007</v>
      </c>
    </row>
    <row r="124" spans="1:10" x14ac:dyDescent="0.25">
      <c r="A124" s="1">
        <v>223</v>
      </c>
      <c r="B124" s="1" t="s">
        <v>22</v>
      </c>
      <c r="C124" s="1" t="s">
        <v>20</v>
      </c>
      <c r="D124" s="1" t="s">
        <v>18</v>
      </c>
      <c r="E124" s="1" t="s">
        <v>13</v>
      </c>
      <c r="F124">
        <v>1</v>
      </c>
      <c r="G124">
        <v>30398</v>
      </c>
      <c r="H124" s="2">
        <v>45049</v>
      </c>
      <c r="I124">
        <v>30398</v>
      </c>
      <c r="J124">
        <v>6079.6</v>
      </c>
    </row>
    <row r="125" spans="1:10" x14ac:dyDescent="0.25">
      <c r="A125" s="1">
        <v>224</v>
      </c>
      <c r="B125" s="1" t="s">
        <v>6</v>
      </c>
      <c r="C125" s="1" t="s">
        <v>11</v>
      </c>
      <c r="D125" s="1" t="s">
        <v>18</v>
      </c>
      <c r="E125" s="1" t="s">
        <v>9</v>
      </c>
      <c r="F125">
        <v>9</v>
      </c>
      <c r="G125">
        <v>35268</v>
      </c>
      <c r="H125" s="2">
        <v>45050</v>
      </c>
      <c r="I125">
        <v>317412</v>
      </c>
      <c r="J125">
        <v>7053.6</v>
      </c>
    </row>
    <row r="126" spans="1:10" x14ac:dyDescent="0.25">
      <c r="A126" s="1">
        <v>225</v>
      </c>
      <c r="B126" s="1" t="s">
        <v>30</v>
      </c>
      <c r="C126" s="1" t="s">
        <v>20</v>
      </c>
      <c r="D126" s="1" t="s">
        <v>12</v>
      </c>
      <c r="E126" s="1" t="s">
        <v>24</v>
      </c>
      <c r="F126">
        <v>6</v>
      </c>
      <c r="G126">
        <v>7737</v>
      </c>
      <c r="H126" s="2">
        <v>45051</v>
      </c>
      <c r="I126">
        <v>46422</v>
      </c>
      <c r="J126">
        <v>1547.4</v>
      </c>
    </row>
    <row r="127" spans="1:10" x14ac:dyDescent="0.25">
      <c r="A127" s="1">
        <v>226</v>
      </c>
      <c r="B127" s="1" t="s">
        <v>10</v>
      </c>
      <c r="C127" s="1" t="s">
        <v>20</v>
      </c>
      <c r="D127" s="1" t="s">
        <v>15</v>
      </c>
      <c r="E127" s="1" t="s">
        <v>9</v>
      </c>
      <c r="F127">
        <v>3</v>
      </c>
      <c r="G127">
        <v>37062</v>
      </c>
      <c r="H127" s="2">
        <v>45052</v>
      </c>
      <c r="I127">
        <v>111186</v>
      </c>
      <c r="J127">
        <v>7412.4</v>
      </c>
    </row>
    <row r="128" spans="1:10" x14ac:dyDescent="0.25">
      <c r="A128" s="1">
        <v>227</v>
      </c>
      <c r="B128" s="1" t="s">
        <v>10</v>
      </c>
      <c r="C128" s="1" t="s">
        <v>23</v>
      </c>
      <c r="D128" s="1" t="s">
        <v>12</v>
      </c>
      <c r="E128" s="1" t="s">
        <v>27</v>
      </c>
      <c r="F128">
        <v>8</v>
      </c>
      <c r="G128">
        <v>26510</v>
      </c>
      <c r="H128" s="2">
        <v>45053</v>
      </c>
      <c r="I128">
        <v>212080</v>
      </c>
      <c r="J128">
        <v>5302</v>
      </c>
    </row>
    <row r="129" spans="1:10" x14ac:dyDescent="0.25">
      <c r="A129" s="1">
        <v>228</v>
      </c>
      <c r="B129" s="1" t="s">
        <v>17</v>
      </c>
      <c r="C129" s="1" t="s">
        <v>7</v>
      </c>
      <c r="D129" s="1" t="s">
        <v>12</v>
      </c>
      <c r="E129" s="1" t="s">
        <v>24</v>
      </c>
      <c r="F129">
        <v>9</v>
      </c>
      <c r="G129">
        <v>20426</v>
      </c>
      <c r="H129" s="2">
        <v>45054</v>
      </c>
      <c r="I129">
        <v>183834</v>
      </c>
      <c r="J129">
        <v>4085.2</v>
      </c>
    </row>
    <row r="130" spans="1:10" x14ac:dyDescent="0.25">
      <c r="A130" s="1">
        <v>229</v>
      </c>
      <c r="B130" s="1" t="s">
        <v>6</v>
      </c>
      <c r="C130" s="1" t="s">
        <v>11</v>
      </c>
      <c r="D130" s="1" t="s">
        <v>15</v>
      </c>
      <c r="E130" s="1" t="s">
        <v>9</v>
      </c>
      <c r="F130">
        <v>6</v>
      </c>
      <c r="G130">
        <v>38265</v>
      </c>
      <c r="H130" s="2">
        <v>45055</v>
      </c>
      <c r="I130">
        <v>229590</v>
      </c>
      <c r="J130">
        <v>7653</v>
      </c>
    </row>
    <row r="131" spans="1:10" x14ac:dyDescent="0.25">
      <c r="A131" s="1">
        <v>230</v>
      </c>
      <c r="B131" s="1" t="s">
        <v>6</v>
      </c>
      <c r="C131" s="1" t="s">
        <v>23</v>
      </c>
      <c r="D131" s="1" t="s">
        <v>15</v>
      </c>
      <c r="E131" s="1" t="s">
        <v>29</v>
      </c>
      <c r="F131">
        <v>7</v>
      </c>
      <c r="G131">
        <v>18850</v>
      </c>
      <c r="H131" s="2">
        <v>45056</v>
      </c>
      <c r="I131">
        <v>131950</v>
      </c>
      <c r="J131">
        <v>3770</v>
      </c>
    </row>
    <row r="132" spans="1:10" x14ac:dyDescent="0.25">
      <c r="A132" s="1">
        <v>231</v>
      </c>
      <c r="B132" s="1" t="s">
        <v>10</v>
      </c>
      <c r="C132" s="1" t="s">
        <v>23</v>
      </c>
      <c r="D132" s="1" t="s">
        <v>15</v>
      </c>
      <c r="E132" s="1" t="s">
        <v>25</v>
      </c>
      <c r="F132">
        <v>1</v>
      </c>
      <c r="G132">
        <v>1614</v>
      </c>
      <c r="H132" s="2">
        <v>45057</v>
      </c>
      <c r="I132">
        <v>1614</v>
      </c>
      <c r="J132">
        <v>322.8</v>
      </c>
    </row>
    <row r="133" spans="1:10" x14ac:dyDescent="0.25">
      <c r="A133" s="1">
        <v>232</v>
      </c>
      <c r="B133" s="1" t="s">
        <v>6</v>
      </c>
      <c r="C133" s="1" t="s">
        <v>11</v>
      </c>
      <c r="D133" s="1" t="s">
        <v>18</v>
      </c>
      <c r="E133" s="1" t="s">
        <v>27</v>
      </c>
      <c r="F133">
        <v>5</v>
      </c>
      <c r="G133">
        <v>22776</v>
      </c>
      <c r="H133" s="2">
        <v>45058</v>
      </c>
      <c r="I133">
        <v>113880</v>
      </c>
      <c r="J133">
        <v>4555.2</v>
      </c>
    </row>
    <row r="134" spans="1:10" x14ac:dyDescent="0.25">
      <c r="A134" s="1">
        <v>233</v>
      </c>
      <c r="B134" s="1" t="s">
        <v>22</v>
      </c>
      <c r="C134" s="1" t="s">
        <v>20</v>
      </c>
      <c r="D134" s="1" t="s">
        <v>8</v>
      </c>
      <c r="E134" s="1" t="s">
        <v>9</v>
      </c>
      <c r="F134">
        <v>5</v>
      </c>
      <c r="G134">
        <v>25077</v>
      </c>
      <c r="H134" s="2">
        <v>45059</v>
      </c>
      <c r="I134">
        <v>125385</v>
      </c>
      <c r="J134">
        <v>5015.3999999999996</v>
      </c>
    </row>
    <row r="135" spans="1:10" x14ac:dyDescent="0.25">
      <c r="A135" s="1">
        <v>234</v>
      </c>
      <c r="B135" s="1" t="s">
        <v>26</v>
      </c>
      <c r="C135" s="1" t="s">
        <v>23</v>
      </c>
      <c r="D135" s="1" t="s">
        <v>18</v>
      </c>
      <c r="E135" s="1" t="s">
        <v>27</v>
      </c>
      <c r="F135">
        <v>4</v>
      </c>
      <c r="G135">
        <v>10374</v>
      </c>
      <c r="H135" s="2">
        <v>45060</v>
      </c>
      <c r="I135">
        <v>41496</v>
      </c>
      <c r="J135">
        <v>2074.8000000000002</v>
      </c>
    </row>
    <row r="136" spans="1:10" x14ac:dyDescent="0.25">
      <c r="A136" s="1">
        <v>235</v>
      </c>
      <c r="B136" s="1" t="s">
        <v>28</v>
      </c>
      <c r="C136" s="1" t="s">
        <v>20</v>
      </c>
      <c r="D136" s="1" t="s">
        <v>8</v>
      </c>
      <c r="E136" s="1" t="s">
        <v>16</v>
      </c>
      <c r="F136">
        <v>6</v>
      </c>
      <c r="G136">
        <v>36435</v>
      </c>
      <c r="H136" s="2">
        <v>45061</v>
      </c>
      <c r="I136">
        <v>218610</v>
      </c>
      <c r="J136">
        <v>7287</v>
      </c>
    </row>
    <row r="137" spans="1:10" x14ac:dyDescent="0.25">
      <c r="A137" s="1">
        <v>236</v>
      </c>
      <c r="B137" s="1" t="s">
        <v>21</v>
      </c>
      <c r="C137" s="1" t="s">
        <v>7</v>
      </c>
      <c r="D137" s="1" t="s">
        <v>18</v>
      </c>
      <c r="E137" s="1" t="s">
        <v>27</v>
      </c>
      <c r="F137">
        <v>7</v>
      </c>
      <c r="G137">
        <v>31907</v>
      </c>
      <c r="H137" s="2">
        <v>45062</v>
      </c>
      <c r="I137">
        <v>223349</v>
      </c>
      <c r="J137">
        <v>6381.4</v>
      </c>
    </row>
    <row r="138" spans="1:10" x14ac:dyDescent="0.25">
      <c r="A138" s="1">
        <v>237</v>
      </c>
      <c r="B138" s="1" t="s">
        <v>31</v>
      </c>
      <c r="C138" s="1" t="s">
        <v>20</v>
      </c>
      <c r="D138" s="1" t="s">
        <v>8</v>
      </c>
      <c r="E138" s="1" t="s">
        <v>24</v>
      </c>
      <c r="F138">
        <v>9</v>
      </c>
      <c r="G138">
        <v>14409</v>
      </c>
      <c r="H138" s="2">
        <v>45063</v>
      </c>
      <c r="I138">
        <v>129681</v>
      </c>
      <c r="J138">
        <v>2881.8</v>
      </c>
    </row>
    <row r="139" spans="1:10" x14ac:dyDescent="0.25">
      <c r="A139" s="1">
        <v>238</v>
      </c>
      <c r="B139" s="1" t="s">
        <v>17</v>
      </c>
      <c r="C139" s="1" t="s">
        <v>7</v>
      </c>
      <c r="D139" s="1" t="s">
        <v>18</v>
      </c>
      <c r="E139" s="1" t="s">
        <v>16</v>
      </c>
      <c r="F139">
        <v>1</v>
      </c>
      <c r="G139">
        <v>17514</v>
      </c>
      <c r="H139" s="2">
        <v>45064</v>
      </c>
      <c r="I139">
        <v>17514</v>
      </c>
      <c r="J139">
        <v>3502.8</v>
      </c>
    </row>
    <row r="140" spans="1:10" x14ac:dyDescent="0.25">
      <c r="A140" s="1">
        <v>239</v>
      </c>
      <c r="B140" s="1" t="s">
        <v>26</v>
      </c>
      <c r="C140" s="1" t="s">
        <v>20</v>
      </c>
      <c r="D140" s="1" t="s">
        <v>15</v>
      </c>
      <c r="E140" s="1" t="s">
        <v>19</v>
      </c>
      <c r="F140">
        <v>6</v>
      </c>
      <c r="G140">
        <v>30866</v>
      </c>
      <c r="H140" s="2">
        <v>45065</v>
      </c>
      <c r="I140">
        <v>185196</v>
      </c>
      <c r="J140">
        <v>6173.2</v>
      </c>
    </row>
    <row r="141" spans="1:10" x14ac:dyDescent="0.25">
      <c r="A141" s="1">
        <v>240</v>
      </c>
      <c r="B141" s="1" t="s">
        <v>10</v>
      </c>
      <c r="C141" s="1" t="s">
        <v>23</v>
      </c>
      <c r="D141" s="1" t="s">
        <v>12</v>
      </c>
      <c r="E141" s="1" t="s">
        <v>24</v>
      </c>
      <c r="F141">
        <v>7</v>
      </c>
      <c r="G141">
        <v>3983</v>
      </c>
      <c r="H141" s="2">
        <v>45066</v>
      </c>
      <c r="I141">
        <v>27881</v>
      </c>
      <c r="J141">
        <v>796.6</v>
      </c>
    </row>
    <row r="142" spans="1:10" x14ac:dyDescent="0.25">
      <c r="A142" s="1">
        <v>241</v>
      </c>
      <c r="B142" s="1" t="s">
        <v>21</v>
      </c>
      <c r="C142" s="1" t="s">
        <v>23</v>
      </c>
      <c r="D142" s="1" t="s">
        <v>18</v>
      </c>
      <c r="E142" s="1" t="s">
        <v>25</v>
      </c>
      <c r="F142">
        <v>3</v>
      </c>
      <c r="G142">
        <v>32705</v>
      </c>
      <c r="H142" s="2">
        <v>45067</v>
      </c>
      <c r="I142">
        <v>98115</v>
      </c>
      <c r="J142">
        <v>6541</v>
      </c>
    </row>
    <row r="143" spans="1:10" x14ac:dyDescent="0.25">
      <c r="A143" s="1">
        <v>242</v>
      </c>
      <c r="B143" s="1" t="s">
        <v>6</v>
      </c>
      <c r="C143" s="1" t="s">
        <v>7</v>
      </c>
      <c r="D143" s="1" t="s">
        <v>8</v>
      </c>
      <c r="E143" s="1" t="s">
        <v>16</v>
      </c>
      <c r="F143">
        <v>8</v>
      </c>
      <c r="G143">
        <v>21662</v>
      </c>
      <c r="H143" s="2">
        <v>45068</v>
      </c>
      <c r="I143">
        <v>173296</v>
      </c>
      <c r="J143">
        <v>4332.3999999999996</v>
      </c>
    </row>
    <row r="144" spans="1:10" x14ac:dyDescent="0.25">
      <c r="A144" s="1">
        <v>243</v>
      </c>
      <c r="B144" s="1" t="s">
        <v>31</v>
      </c>
      <c r="C144" s="1" t="s">
        <v>11</v>
      </c>
      <c r="D144" s="1" t="s">
        <v>15</v>
      </c>
      <c r="E144" s="1" t="s">
        <v>19</v>
      </c>
      <c r="F144">
        <v>5</v>
      </c>
      <c r="G144">
        <v>24510</v>
      </c>
      <c r="H144" s="2">
        <v>45069</v>
      </c>
      <c r="I144">
        <v>122550</v>
      </c>
      <c r="J144">
        <v>4902</v>
      </c>
    </row>
    <row r="145" spans="1:10" x14ac:dyDescent="0.25">
      <c r="A145" s="1">
        <v>244</v>
      </c>
      <c r="B145" s="1" t="s">
        <v>6</v>
      </c>
      <c r="C145" s="1" t="s">
        <v>7</v>
      </c>
      <c r="D145" s="1" t="s">
        <v>18</v>
      </c>
      <c r="E145" s="1" t="s">
        <v>29</v>
      </c>
      <c r="F145">
        <v>9</v>
      </c>
      <c r="G145">
        <v>13651</v>
      </c>
      <c r="H145" s="2">
        <v>45070</v>
      </c>
      <c r="I145">
        <v>122859</v>
      </c>
      <c r="J145">
        <v>2730.2</v>
      </c>
    </row>
    <row r="146" spans="1:10" x14ac:dyDescent="0.25">
      <c r="A146" s="1">
        <v>245</v>
      </c>
      <c r="B146" s="1" t="s">
        <v>30</v>
      </c>
      <c r="C146" s="1" t="s">
        <v>7</v>
      </c>
      <c r="D146" s="1" t="s">
        <v>18</v>
      </c>
      <c r="E146" s="1" t="s">
        <v>27</v>
      </c>
      <c r="F146">
        <v>5</v>
      </c>
      <c r="G146">
        <v>41998</v>
      </c>
      <c r="H146" s="2">
        <v>45071</v>
      </c>
      <c r="I146">
        <v>209990</v>
      </c>
      <c r="J146">
        <v>8399.6</v>
      </c>
    </row>
    <row r="147" spans="1:10" x14ac:dyDescent="0.25">
      <c r="A147" s="1">
        <v>246</v>
      </c>
      <c r="B147" s="1" t="s">
        <v>30</v>
      </c>
      <c r="C147" s="1" t="s">
        <v>20</v>
      </c>
      <c r="D147" s="1" t="s">
        <v>15</v>
      </c>
      <c r="E147" s="1" t="s">
        <v>9</v>
      </c>
      <c r="F147">
        <v>9</v>
      </c>
      <c r="G147">
        <v>29535</v>
      </c>
      <c r="H147" s="2">
        <v>45072</v>
      </c>
      <c r="I147">
        <v>265815</v>
      </c>
      <c r="J147">
        <v>5907</v>
      </c>
    </row>
    <row r="148" spans="1:10" x14ac:dyDescent="0.25">
      <c r="A148" s="1">
        <v>247</v>
      </c>
      <c r="B148" s="1" t="s">
        <v>31</v>
      </c>
      <c r="C148" s="1" t="s">
        <v>20</v>
      </c>
      <c r="D148" s="1" t="s">
        <v>18</v>
      </c>
      <c r="E148" s="1" t="s">
        <v>13</v>
      </c>
      <c r="F148">
        <v>4</v>
      </c>
      <c r="G148">
        <v>7640</v>
      </c>
      <c r="H148" s="2">
        <v>45073</v>
      </c>
      <c r="I148">
        <v>30560</v>
      </c>
      <c r="J148">
        <v>1528</v>
      </c>
    </row>
    <row r="149" spans="1:10" x14ac:dyDescent="0.25">
      <c r="A149" s="1">
        <v>248</v>
      </c>
      <c r="B149" s="1" t="s">
        <v>31</v>
      </c>
      <c r="C149" s="1" t="s">
        <v>7</v>
      </c>
      <c r="D149" s="1" t="s">
        <v>12</v>
      </c>
      <c r="E149" s="1" t="s">
        <v>27</v>
      </c>
      <c r="F149">
        <v>9</v>
      </c>
      <c r="G149">
        <v>45547</v>
      </c>
      <c r="H149" s="2">
        <v>45074</v>
      </c>
      <c r="I149">
        <v>409923</v>
      </c>
      <c r="J149">
        <v>9109.4</v>
      </c>
    </row>
    <row r="150" spans="1:10" x14ac:dyDescent="0.25">
      <c r="A150" s="1">
        <v>249</v>
      </c>
      <c r="B150" s="1" t="s">
        <v>10</v>
      </c>
      <c r="C150" s="1" t="s">
        <v>23</v>
      </c>
      <c r="D150" s="1" t="s">
        <v>18</v>
      </c>
      <c r="E150" s="1" t="s">
        <v>19</v>
      </c>
      <c r="F150">
        <v>5</v>
      </c>
      <c r="G150">
        <v>16317</v>
      </c>
      <c r="H150" s="2">
        <v>45075</v>
      </c>
      <c r="I150">
        <v>81585</v>
      </c>
      <c r="J150">
        <v>3263.4</v>
      </c>
    </row>
    <row r="151" spans="1:10" x14ac:dyDescent="0.25">
      <c r="A151" s="1">
        <v>250</v>
      </c>
      <c r="B151" s="1" t="s">
        <v>31</v>
      </c>
      <c r="C151" s="1" t="s">
        <v>20</v>
      </c>
      <c r="D151" s="1" t="s">
        <v>12</v>
      </c>
      <c r="E151" s="1" t="s">
        <v>27</v>
      </c>
      <c r="F151">
        <v>9</v>
      </c>
      <c r="G151">
        <v>8564</v>
      </c>
      <c r="H151" s="2">
        <v>45076</v>
      </c>
      <c r="I151">
        <v>77076</v>
      </c>
      <c r="J151">
        <v>1712.8</v>
      </c>
    </row>
    <row r="152" spans="1:10" x14ac:dyDescent="0.25">
      <c r="A152" s="1">
        <v>251</v>
      </c>
      <c r="B152" s="1" t="s">
        <v>22</v>
      </c>
      <c r="C152" s="1" t="s">
        <v>11</v>
      </c>
      <c r="D152" s="1" t="s">
        <v>12</v>
      </c>
      <c r="E152" s="1" t="s">
        <v>25</v>
      </c>
      <c r="F152">
        <v>3</v>
      </c>
      <c r="G152">
        <v>28345</v>
      </c>
      <c r="H152" s="2">
        <v>45077</v>
      </c>
      <c r="I152">
        <v>85035</v>
      </c>
      <c r="J152">
        <v>5669</v>
      </c>
    </row>
    <row r="153" spans="1:10" x14ac:dyDescent="0.25">
      <c r="A153" s="1">
        <v>252</v>
      </c>
      <c r="B153" s="1" t="s">
        <v>6</v>
      </c>
      <c r="C153" s="1" t="s">
        <v>20</v>
      </c>
      <c r="D153" s="1" t="s">
        <v>15</v>
      </c>
      <c r="E153" s="1" t="s">
        <v>29</v>
      </c>
      <c r="F153">
        <v>4</v>
      </c>
      <c r="G153">
        <v>49288</v>
      </c>
      <c r="H153" s="2">
        <v>45078</v>
      </c>
      <c r="I153">
        <v>197152</v>
      </c>
      <c r="J153">
        <v>9857.6</v>
      </c>
    </row>
    <row r="154" spans="1:10" x14ac:dyDescent="0.25">
      <c r="A154" s="1">
        <v>253</v>
      </c>
      <c r="B154" s="1" t="s">
        <v>26</v>
      </c>
      <c r="C154" s="1" t="s">
        <v>20</v>
      </c>
      <c r="D154" s="1" t="s">
        <v>18</v>
      </c>
      <c r="E154" s="1" t="s">
        <v>13</v>
      </c>
      <c r="F154">
        <v>9</v>
      </c>
      <c r="G154">
        <v>29687</v>
      </c>
      <c r="H154" s="2">
        <v>45079</v>
      </c>
      <c r="I154">
        <v>267183</v>
      </c>
      <c r="J154">
        <v>5937.4</v>
      </c>
    </row>
    <row r="155" spans="1:10" x14ac:dyDescent="0.25">
      <c r="A155" s="1">
        <v>254</v>
      </c>
      <c r="B155" s="1" t="s">
        <v>14</v>
      </c>
      <c r="C155" s="1" t="s">
        <v>11</v>
      </c>
      <c r="D155" s="1" t="s">
        <v>15</v>
      </c>
      <c r="E155" s="1" t="s">
        <v>16</v>
      </c>
      <c r="F155">
        <v>6</v>
      </c>
      <c r="G155">
        <v>14737</v>
      </c>
      <c r="H155" s="2">
        <v>45080</v>
      </c>
      <c r="I155">
        <v>88422</v>
      </c>
      <c r="J155">
        <v>2947.4</v>
      </c>
    </row>
    <row r="156" spans="1:10" x14ac:dyDescent="0.25">
      <c r="A156" s="1">
        <v>255</v>
      </c>
      <c r="B156" s="1" t="s">
        <v>31</v>
      </c>
      <c r="C156" s="1" t="s">
        <v>7</v>
      </c>
      <c r="D156" s="1" t="s">
        <v>18</v>
      </c>
      <c r="E156" s="1" t="s">
        <v>16</v>
      </c>
      <c r="F156">
        <v>2</v>
      </c>
      <c r="G156">
        <v>10323</v>
      </c>
      <c r="H156" s="2">
        <v>45081</v>
      </c>
      <c r="I156">
        <v>20646</v>
      </c>
      <c r="J156">
        <v>2064.6</v>
      </c>
    </row>
    <row r="157" spans="1:10" x14ac:dyDescent="0.25">
      <c r="A157" s="1">
        <v>256</v>
      </c>
      <c r="B157" s="1" t="s">
        <v>17</v>
      </c>
      <c r="C157" s="1" t="s">
        <v>11</v>
      </c>
      <c r="D157" s="1" t="s">
        <v>18</v>
      </c>
      <c r="E157" s="1" t="s">
        <v>16</v>
      </c>
      <c r="F157">
        <v>7</v>
      </c>
      <c r="G157">
        <v>16229</v>
      </c>
      <c r="H157" s="2">
        <v>45082</v>
      </c>
      <c r="I157">
        <v>113603</v>
      </c>
      <c r="J157">
        <v>3245.8</v>
      </c>
    </row>
    <row r="158" spans="1:10" x14ac:dyDescent="0.25">
      <c r="A158" s="1">
        <v>257</v>
      </c>
      <c r="B158" s="1" t="s">
        <v>30</v>
      </c>
      <c r="C158" s="1" t="s">
        <v>7</v>
      </c>
      <c r="D158" s="1" t="s">
        <v>8</v>
      </c>
      <c r="E158" s="1" t="s">
        <v>19</v>
      </c>
      <c r="F158">
        <v>2</v>
      </c>
      <c r="G158">
        <v>45481</v>
      </c>
      <c r="H158" s="2">
        <v>45083</v>
      </c>
      <c r="I158">
        <v>90962</v>
      </c>
      <c r="J158">
        <v>9096.2000000000007</v>
      </c>
    </row>
    <row r="159" spans="1:10" x14ac:dyDescent="0.25">
      <c r="A159" s="1">
        <v>258</v>
      </c>
      <c r="B159" s="1" t="s">
        <v>22</v>
      </c>
      <c r="C159" s="1" t="s">
        <v>7</v>
      </c>
      <c r="D159" s="1" t="s">
        <v>18</v>
      </c>
      <c r="E159" s="1" t="s">
        <v>24</v>
      </c>
      <c r="F159">
        <v>2</v>
      </c>
      <c r="G159">
        <v>9502</v>
      </c>
      <c r="H159" s="2">
        <v>45084</v>
      </c>
      <c r="I159">
        <v>19004</v>
      </c>
      <c r="J159">
        <v>1900.4</v>
      </c>
    </row>
    <row r="160" spans="1:10" x14ac:dyDescent="0.25">
      <c r="A160" s="1">
        <v>259</v>
      </c>
      <c r="B160" s="1" t="s">
        <v>21</v>
      </c>
      <c r="C160" s="1" t="s">
        <v>7</v>
      </c>
      <c r="D160" s="1" t="s">
        <v>15</v>
      </c>
      <c r="E160" s="1" t="s">
        <v>24</v>
      </c>
      <c r="F160">
        <v>1</v>
      </c>
      <c r="G160">
        <v>1545</v>
      </c>
      <c r="H160" s="2">
        <v>45085</v>
      </c>
      <c r="I160">
        <v>1545</v>
      </c>
      <c r="J160">
        <v>309</v>
      </c>
    </row>
    <row r="161" spans="1:10" x14ac:dyDescent="0.25">
      <c r="A161" s="1">
        <v>260</v>
      </c>
      <c r="B161" s="1" t="s">
        <v>14</v>
      </c>
      <c r="C161" s="1" t="s">
        <v>11</v>
      </c>
      <c r="D161" s="1" t="s">
        <v>12</v>
      </c>
      <c r="E161" s="1" t="s">
        <v>9</v>
      </c>
      <c r="F161">
        <v>3</v>
      </c>
      <c r="G161">
        <v>38114</v>
      </c>
      <c r="H161" s="2">
        <v>45086</v>
      </c>
      <c r="I161">
        <v>114342</v>
      </c>
      <c r="J161">
        <v>7622.8</v>
      </c>
    </row>
    <row r="162" spans="1:10" x14ac:dyDescent="0.25">
      <c r="A162" s="1">
        <v>261</v>
      </c>
      <c r="B162" s="1" t="s">
        <v>26</v>
      </c>
      <c r="C162" s="1" t="s">
        <v>7</v>
      </c>
      <c r="D162" s="1" t="s">
        <v>18</v>
      </c>
      <c r="E162" s="1" t="s">
        <v>13</v>
      </c>
      <c r="F162">
        <v>6</v>
      </c>
      <c r="G162">
        <v>30430</v>
      </c>
      <c r="H162" s="2">
        <v>45087</v>
      </c>
      <c r="I162">
        <v>182580</v>
      </c>
      <c r="J162">
        <v>6086</v>
      </c>
    </row>
    <row r="163" spans="1:10" x14ac:dyDescent="0.25">
      <c r="A163" s="1">
        <v>262</v>
      </c>
      <c r="B163" s="1" t="s">
        <v>14</v>
      </c>
      <c r="C163" s="1" t="s">
        <v>23</v>
      </c>
      <c r="D163" s="1" t="s">
        <v>8</v>
      </c>
      <c r="E163" s="1" t="s">
        <v>16</v>
      </c>
      <c r="F163">
        <v>8</v>
      </c>
      <c r="G163">
        <v>10996</v>
      </c>
      <c r="H163" s="2">
        <v>45088</v>
      </c>
      <c r="I163">
        <v>87968</v>
      </c>
      <c r="J163">
        <v>2199.1999999999998</v>
      </c>
    </row>
    <row r="164" spans="1:10" x14ac:dyDescent="0.25">
      <c r="A164" s="1">
        <v>263</v>
      </c>
      <c r="B164" s="1" t="s">
        <v>31</v>
      </c>
      <c r="C164" s="1" t="s">
        <v>11</v>
      </c>
      <c r="D164" s="1" t="s">
        <v>15</v>
      </c>
      <c r="E164" s="1" t="s">
        <v>24</v>
      </c>
      <c r="F164">
        <v>9</v>
      </c>
      <c r="G164">
        <v>28788</v>
      </c>
      <c r="H164" s="2">
        <v>45089</v>
      </c>
      <c r="I164">
        <v>259092</v>
      </c>
      <c r="J164">
        <v>5757.6</v>
      </c>
    </row>
    <row r="165" spans="1:10" x14ac:dyDescent="0.25">
      <c r="A165" s="1">
        <v>264</v>
      </c>
      <c r="B165" s="1" t="s">
        <v>10</v>
      </c>
      <c r="C165" s="1" t="s">
        <v>23</v>
      </c>
      <c r="D165" s="1" t="s">
        <v>18</v>
      </c>
      <c r="E165" s="1" t="s">
        <v>19</v>
      </c>
      <c r="F165">
        <v>7</v>
      </c>
      <c r="G165">
        <v>30969</v>
      </c>
      <c r="H165" s="2">
        <v>45090</v>
      </c>
      <c r="I165">
        <v>216783</v>
      </c>
      <c r="J165">
        <v>6193.8</v>
      </c>
    </row>
    <row r="166" spans="1:10" x14ac:dyDescent="0.25">
      <c r="A166" s="1">
        <v>265</v>
      </c>
      <c r="B166" s="1" t="s">
        <v>30</v>
      </c>
      <c r="C166" s="1" t="s">
        <v>7</v>
      </c>
      <c r="D166" s="1" t="s">
        <v>15</v>
      </c>
      <c r="E166" s="1" t="s">
        <v>9</v>
      </c>
      <c r="F166">
        <v>4</v>
      </c>
      <c r="G166">
        <v>49543</v>
      </c>
      <c r="H166" s="2">
        <v>45091</v>
      </c>
      <c r="I166">
        <v>198172</v>
      </c>
      <c r="J166">
        <v>9908.6</v>
      </c>
    </row>
    <row r="167" spans="1:10" x14ac:dyDescent="0.25">
      <c r="A167" s="1">
        <v>266</v>
      </c>
      <c r="B167" s="1" t="s">
        <v>30</v>
      </c>
      <c r="C167" s="1" t="s">
        <v>20</v>
      </c>
      <c r="D167" s="1" t="s">
        <v>8</v>
      </c>
      <c r="E167" s="1" t="s">
        <v>29</v>
      </c>
      <c r="F167">
        <v>6</v>
      </c>
      <c r="G167">
        <v>14919</v>
      </c>
      <c r="H167" s="2">
        <v>45092</v>
      </c>
      <c r="I167">
        <v>89514</v>
      </c>
      <c r="J167">
        <v>2983.8</v>
      </c>
    </row>
    <row r="168" spans="1:10" x14ac:dyDescent="0.25">
      <c r="A168" s="1">
        <v>267</v>
      </c>
      <c r="B168" s="1" t="s">
        <v>21</v>
      </c>
      <c r="C168" s="1" t="s">
        <v>7</v>
      </c>
      <c r="D168" s="1" t="s">
        <v>8</v>
      </c>
      <c r="E168" s="1" t="s">
        <v>9</v>
      </c>
      <c r="F168">
        <v>5</v>
      </c>
      <c r="G168">
        <v>4810</v>
      </c>
      <c r="H168" s="2">
        <v>45093</v>
      </c>
      <c r="I168">
        <v>24050</v>
      </c>
      <c r="J168">
        <v>962</v>
      </c>
    </row>
    <row r="169" spans="1:10" x14ac:dyDescent="0.25">
      <c r="A169" s="1">
        <v>268</v>
      </c>
      <c r="B169" s="1" t="s">
        <v>10</v>
      </c>
      <c r="C169" s="1" t="s">
        <v>23</v>
      </c>
      <c r="D169" s="1" t="s">
        <v>15</v>
      </c>
      <c r="E169" s="1" t="s">
        <v>24</v>
      </c>
      <c r="F169">
        <v>8</v>
      </c>
      <c r="G169">
        <v>31586</v>
      </c>
      <c r="H169" s="2">
        <v>45094</v>
      </c>
      <c r="I169">
        <v>252688</v>
      </c>
      <c r="J169">
        <v>6317.2</v>
      </c>
    </row>
    <row r="170" spans="1:10" x14ac:dyDescent="0.25">
      <c r="A170" s="1">
        <v>269</v>
      </c>
      <c r="B170" s="1" t="s">
        <v>6</v>
      </c>
      <c r="C170" s="1" t="s">
        <v>23</v>
      </c>
      <c r="D170" s="1" t="s">
        <v>18</v>
      </c>
      <c r="E170" s="1" t="s">
        <v>25</v>
      </c>
      <c r="F170">
        <v>1</v>
      </c>
      <c r="G170">
        <v>40974</v>
      </c>
      <c r="H170" s="2">
        <v>45095</v>
      </c>
      <c r="I170">
        <v>40974</v>
      </c>
      <c r="J170">
        <v>8194.7999999999993</v>
      </c>
    </row>
    <row r="171" spans="1:10" x14ac:dyDescent="0.25">
      <c r="A171" s="1">
        <v>270</v>
      </c>
      <c r="B171" s="1" t="s">
        <v>28</v>
      </c>
      <c r="C171" s="1" t="s">
        <v>11</v>
      </c>
      <c r="D171" s="1" t="s">
        <v>12</v>
      </c>
      <c r="E171" s="1" t="s">
        <v>19</v>
      </c>
      <c r="F171">
        <v>1</v>
      </c>
      <c r="G171">
        <v>42773</v>
      </c>
      <c r="H171" s="2">
        <v>45096</v>
      </c>
      <c r="I171">
        <v>42773</v>
      </c>
      <c r="J171">
        <v>8554.6</v>
      </c>
    </row>
    <row r="172" spans="1:10" x14ac:dyDescent="0.25">
      <c r="A172" s="1">
        <v>271</v>
      </c>
      <c r="B172" s="1" t="s">
        <v>22</v>
      </c>
      <c r="C172" s="1" t="s">
        <v>20</v>
      </c>
      <c r="D172" s="1" t="s">
        <v>8</v>
      </c>
      <c r="E172" s="1" t="s">
        <v>25</v>
      </c>
      <c r="F172">
        <v>6</v>
      </c>
      <c r="G172">
        <v>17371</v>
      </c>
      <c r="H172" s="2">
        <v>45097</v>
      </c>
      <c r="I172">
        <v>104226</v>
      </c>
      <c r="J172">
        <v>3474.2</v>
      </c>
    </row>
    <row r="173" spans="1:10" x14ac:dyDescent="0.25">
      <c r="A173" s="1">
        <v>272</v>
      </c>
      <c r="B173" s="1" t="s">
        <v>30</v>
      </c>
      <c r="C173" s="1" t="s">
        <v>11</v>
      </c>
      <c r="D173" s="1" t="s">
        <v>18</v>
      </c>
      <c r="E173" s="1" t="s">
        <v>16</v>
      </c>
      <c r="F173">
        <v>2</v>
      </c>
      <c r="G173">
        <v>46084</v>
      </c>
      <c r="H173" s="2">
        <v>45098</v>
      </c>
      <c r="I173">
        <v>92168</v>
      </c>
      <c r="J173">
        <v>9216.7999999999993</v>
      </c>
    </row>
    <row r="174" spans="1:10" x14ac:dyDescent="0.25">
      <c r="A174" s="1">
        <v>273</v>
      </c>
      <c r="B174" s="1" t="s">
        <v>17</v>
      </c>
      <c r="C174" s="1" t="s">
        <v>23</v>
      </c>
      <c r="D174" s="1" t="s">
        <v>18</v>
      </c>
      <c r="E174" s="1" t="s">
        <v>25</v>
      </c>
      <c r="F174">
        <v>5</v>
      </c>
      <c r="G174">
        <v>30629</v>
      </c>
      <c r="H174" s="2">
        <v>45099</v>
      </c>
      <c r="I174">
        <v>153145</v>
      </c>
      <c r="J174">
        <v>6125.8</v>
      </c>
    </row>
    <row r="175" spans="1:10" x14ac:dyDescent="0.25">
      <c r="A175" s="1">
        <v>274</v>
      </c>
      <c r="B175" s="1" t="s">
        <v>30</v>
      </c>
      <c r="C175" s="1" t="s">
        <v>7</v>
      </c>
      <c r="D175" s="1" t="s">
        <v>12</v>
      </c>
      <c r="E175" s="1" t="s">
        <v>16</v>
      </c>
      <c r="F175">
        <v>1</v>
      </c>
      <c r="G175">
        <v>9436</v>
      </c>
      <c r="H175" s="2">
        <v>45100</v>
      </c>
      <c r="I175">
        <v>9436</v>
      </c>
      <c r="J175">
        <v>1887.2</v>
      </c>
    </row>
    <row r="176" spans="1:10" x14ac:dyDescent="0.25">
      <c r="A176" s="1">
        <v>275</v>
      </c>
      <c r="B176" s="1" t="s">
        <v>14</v>
      </c>
      <c r="C176" s="1" t="s">
        <v>20</v>
      </c>
      <c r="D176" s="1" t="s">
        <v>8</v>
      </c>
      <c r="E176" s="1" t="s">
        <v>16</v>
      </c>
      <c r="F176">
        <v>7</v>
      </c>
      <c r="G176">
        <v>13984</v>
      </c>
      <c r="H176" s="2">
        <v>45101</v>
      </c>
      <c r="I176">
        <v>97888</v>
      </c>
      <c r="J176">
        <v>2796.8</v>
      </c>
    </row>
    <row r="177" spans="1:10" x14ac:dyDescent="0.25">
      <c r="A177" s="1">
        <v>276</v>
      </c>
      <c r="B177" s="1" t="s">
        <v>30</v>
      </c>
      <c r="C177" s="1" t="s">
        <v>7</v>
      </c>
      <c r="D177" s="1" t="s">
        <v>8</v>
      </c>
      <c r="E177" s="1" t="s">
        <v>24</v>
      </c>
      <c r="F177">
        <v>1</v>
      </c>
      <c r="G177">
        <v>34039</v>
      </c>
      <c r="H177" s="2">
        <v>45102</v>
      </c>
      <c r="I177">
        <v>34039</v>
      </c>
      <c r="J177">
        <v>6807.8</v>
      </c>
    </row>
    <row r="178" spans="1:10" x14ac:dyDescent="0.25">
      <c r="A178" s="1">
        <v>277</v>
      </c>
      <c r="B178" s="1" t="s">
        <v>30</v>
      </c>
      <c r="C178" s="1" t="s">
        <v>7</v>
      </c>
      <c r="D178" s="1" t="s">
        <v>18</v>
      </c>
      <c r="E178" s="1" t="s">
        <v>25</v>
      </c>
      <c r="F178">
        <v>4</v>
      </c>
      <c r="G178">
        <v>20895</v>
      </c>
      <c r="H178" s="2">
        <v>45103</v>
      </c>
      <c r="I178">
        <v>83580</v>
      </c>
      <c r="J178">
        <v>4179</v>
      </c>
    </row>
    <row r="179" spans="1:10" x14ac:dyDescent="0.25">
      <c r="A179" s="1">
        <v>278</v>
      </c>
      <c r="B179" s="1" t="s">
        <v>28</v>
      </c>
      <c r="C179" s="1" t="s">
        <v>20</v>
      </c>
      <c r="D179" s="1" t="s">
        <v>18</v>
      </c>
      <c r="E179" s="1" t="s">
        <v>16</v>
      </c>
      <c r="F179">
        <v>9</v>
      </c>
      <c r="G179">
        <v>19155</v>
      </c>
      <c r="H179" s="2">
        <v>45104</v>
      </c>
      <c r="I179">
        <v>172395</v>
      </c>
      <c r="J179">
        <v>3831</v>
      </c>
    </row>
    <row r="180" spans="1:10" x14ac:dyDescent="0.25">
      <c r="A180" s="1">
        <v>279</v>
      </c>
      <c r="B180" s="1" t="s">
        <v>28</v>
      </c>
      <c r="C180" s="1" t="s">
        <v>11</v>
      </c>
      <c r="D180" s="1" t="s">
        <v>12</v>
      </c>
      <c r="E180" s="1" t="s">
        <v>13</v>
      </c>
      <c r="F180">
        <v>1</v>
      </c>
      <c r="G180">
        <v>11616</v>
      </c>
      <c r="H180" s="2">
        <v>45105</v>
      </c>
      <c r="I180">
        <v>11616</v>
      </c>
      <c r="J180">
        <v>2323.1999999999998</v>
      </c>
    </row>
    <row r="181" spans="1:10" x14ac:dyDescent="0.25">
      <c r="A181" s="1">
        <v>280</v>
      </c>
      <c r="B181" s="1" t="s">
        <v>26</v>
      </c>
      <c r="C181" s="1" t="s">
        <v>7</v>
      </c>
      <c r="D181" s="1" t="s">
        <v>12</v>
      </c>
      <c r="E181" s="1" t="s">
        <v>29</v>
      </c>
      <c r="F181">
        <v>4</v>
      </c>
      <c r="G181">
        <v>38129</v>
      </c>
      <c r="H181" s="2">
        <v>45106</v>
      </c>
      <c r="I181">
        <v>152516</v>
      </c>
      <c r="J181">
        <v>7625.8</v>
      </c>
    </row>
    <row r="182" spans="1:10" x14ac:dyDescent="0.25">
      <c r="A182" s="1">
        <v>281</v>
      </c>
      <c r="B182" s="1" t="s">
        <v>6</v>
      </c>
      <c r="C182" s="1" t="s">
        <v>23</v>
      </c>
      <c r="D182" s="1" t="s">
        <v>8</v>
      </c>
      <c r="E182" s="1" t="s">
        <v>9</v>
      </c>
      <c r="F182">
        <v>6</v>
      </c>
      <c r="G182">
        <v>40837</v>
      </c>
      <c r="H182" s="2">
        <v>45107</v>
      </c>
      <c r="I182">
        <v>245022</v>
      </c>
      <c r="J182">
        <v>8167.4</v>
      </c>
    </row>
    <row r="183" spans="1:10" x14ac:dyDescent="0.25">
      <c r="A183" s="1">
        <v>282</v>
      </c>
      <c r="B183" s="1" t="s">
        <v>17</v>
      </c>
      <c r="C183" s="1" t="s">
        <v>7</v>
      </c>
      <c r="D183" s="1" t="s">
        <v>15</v>
      </c>
      <c r="E183" s="1" t="s">
        <v>9</v>
      </c>
      <c r="F183">
        <v>6</v>
      </c>
      <c r="G183">
        <v>25574</v>
      </c>
      <c r="H183" s="2">
        <v>45108</v>
      </c>
      <c r="I183">
        <v>153444</v>
      </c>
      <c r="J183">
        <v>5114.8</v>
      </c>
    </row>
    <row r="184" spans="1:10" x14ac:dyDescent="0.25">
      <c r="A184" s="1">
        <v>283</v>
      </c>
      <c r="B184" s="1" t="s">
        <v>30</v>
      </c>
      <c r="C184" s="1" t="s">
        <v>20</v>
      </c>
      <c r="D184" s="1" t="s">
        <v>8</v>
      </c>
      <c r="E184" s="1" t="s">
        <v>24</v>
      </c>
      <c r="F184">
        <v>8</v>
      </c>
      <c r="G184">
        <v>4430</v>
      </c>
      <c r="H184" s="2">
        <v>45109</v>
      </c>
      <c r="I184">
        <v>35440</v>
      </c>
      <c r="J184">
        <v>886</v>
      </c>
    </row>
    <row r="185" spans="1:10" x14ac:dyDescent="0.25">
      <c r="A185" s="1">
        <v>284</v>
      </c>
      <c r="B185" s="1" t="s">
        <v>30</v>
      </c>
      <c r="C185" s="1" t="s">
        <v>20</v>
      </c>
      <c r="D185" s="1" t="s">
        <v>18</v>
      </c>
      <c r="E185" s="1" t="s">
        <v>25</v>
      </c>
      <c r="F185">
        <v>1</v>
      </c>
      <c r="G185">
        <v>13676</v>
      </c>
      <c r="H185" s="2">
        <v>45110</v>
      </c>
      <c r="I185">
        <v>13676</v>
      </c>
      <c r="J185">
        <v>2735.2</v>
      </c>
    </row>
    <row r="186" spans="1:10" x14ac:dyDescent="0.25">
      <c r="A186" s="1">
        <v>285</v>
      </c>
      <c r="B186" s="1" t="s">
        <v>22</v>
      </c>
      <c r="C186" s="1" t="s">
        <v>20</v>
      </c>
      <c r="D186" s="1" t="s">
        <v>8</v>
      </c>
      <c r="E186" s="1" t="s">
        <v>25</v>
      </c>
      <c r="F186">
        <v>7</v>
      </c>
      <c r="G186">
        <v>11816</v>
      </c>
      <c r="H186" s="2">
        <v>45111</v>
      </c>
      <c r="I186">
        <v>82712</v>
      </c>
      <c r="J186">
        <v>2363.1999999999998</v>
      </c>
    </row>
    <row r="187" spans="1:10" x14ac:dyDescent="0.25">
      <c r="A187" s="1">
        <v>286</v>
      </c>
      <c r="B187" s="1" t="s">
        <v>28</v>
      </c>
      <c r="C187" s="1" t="s">
        <v>11</v>
      </c>
      <c r="D187" s="1" t="s">
        <v>15</v>
      </c>
      <c r="E187" s="1" t="s">
        <v>16</v>
      </c>
      <c r="F187">
        <v>1</v>
      </c>
      <c r="G187">
        <v>33733</v>
      </c>
      <c r="H187" s="2">
        <v>45112</v>
      </c>
      <c r="I187">
        <v>33733</v>
      </c>
      <c r="J187">
        <v>6746.6</v>
      </c>
    </row>
    <row r="188" spans="1:10" x14ac:dyDescent="0.25">
      <c r="A188" s="1">
        <v>287</v>
      </c>
      <c r="B188" s="1" t="s">
        <v>17</v>
      </c>
      <c r="C188" s="1" t="s">
        <v>7</v>
      </c>
      <c r="D188" s="1" t="s">
        <v>12</v>
      </c>
      <c r="E188" s="1" t="s">
        <v>19</v>
      </c>
      <c r="F188">
        <v>7</v>
      </c>
      <c r="G188">
        <v>21144</v>
      </c>
      <c r="H188" s="2">
        <v>45113</v>
      </c>
      <c r="I188">
        <v>148008</v>
      </c>
      <c r="J188">
        <v>4228.8</v>
      </c>
    </row>
    <row r="189" spans="1:10" x14ac:dyDescent="0.25">
      <c r="A189" s="1">
        <v>288</v>
      </c>
      <c r="B189" s="1" t="s">
        <v>21</v>
      </c>
      <c r="C189" s="1" t="s">
        <v>11</v>
      </c>
      <c r="D189" s="1" t="s">
        <v>15</v>
      </c>
      <c r="E189" s="1" t="s">
        <v>27</v>
      </c>
      <c r="F189">
        <v>3</v>
      </c>
      <c r="G189">
        <v>3050</v>
      </c>
      <c r="H189" s="2">
        <v>45114</v>
      </c>
      <c r="I189">
        <v>9150</v>
      </c>
      <c r="J189">
        <v>610</v>
      </c>
    </row>
    <row r="190" spans="1:10" x14ac:dyDescent="0.25">
      <c r="A190" s="1">
        <v>289</v>
      </c>
      <c r="B190" s="1" t="s">
        <v>26</v>
      </c>
      <c r="C190" s="1" t="s">
        <v>11</v>
      </c>
      <c r="D190" s="1" t="s">
        <v>15</v>
      </c>
      <c r="E190" s="1" t="s">
        <v>16</v>
      </c>
      <c r="F190">
        <v>8</v>
      </c>
      <c r="G190">
        <v>45460</v>
      </c>
      <c r="H190" s="2">
        <v>45115</v>
      </c>
      <c r="I190">
        <v>363680</v>
      </c>
      <c r="J190">
        <v>9092</v>
      </c>
    </row>
    <row r="191" spans="1:10" x14ac:dyDescent="0.25">
      <c r="A191" s="1">
        <v>290</v>
      </c>
      <c r="B191" s="1" t="s">
        <v>6</v>
      </c>
      <c r="C191" s="1" t="s">
        <v>20</v>
      </c>
      <c r="D191" s="1" t="s">
        <v>15</v>
      </c>
      <c r="E191" s="1" t="s">
        <v>29</v>
      </c>
      <c r="F191">
        <v>3</v>
      </c>
      <c r="G191">
        <v>34933</v>
      </c>
      <c r="H191" s="2">
        <v>45116</v>
      </c>
      <c r="I191">
        <v>104799</v>
      </c>
      <c r="J191">
        <v>6986.6</v>
      </c>
    </row>
    <row r="192" spans="1:10" x14ac:dyDescent="0.25">
      <c r="A192" s="1">
        <v>291</v>
      </c>
      <c r="B192" s="1" t="s">
        <v>10</v>
      </c>
      <c r="C192" s="1" t="s">
        <v>20</v>
      </c>
      <c r="D192" s="1" t="s">
        <v>12</v>
      </c>
      <c r="E192" s="1" t="s">
        <v>13</v>
      </c>
      <c r="F192">
        <v>1</v>
      </c>
      <c r="G192">
        <v>25951</v>
      </c>
      <c r="H192" s="2">
        <v>45117</v>
      </c>
      <c r="I192">
        <v>25951</v>
      </c>
      <c r="J192">
        <v>5190.2</v>
      </c>
    </row>
    <row r="193" spans="1:10" x14ac:dyDescent="0.25">
      <c r="A193" s="1">
        <v>292</v>
      </c>
      <c r="B193" s="1" t="s">
        <v>6</v>
      </c>
      <c r="C193" s="1" t="s">
        <v>11</v>
      </c>
      <c r="D193" s="1" t="s">
        <v>15</v>
      </c>
      <c r="E193" s="1" t="s">
        <v>9</v>
      </c>
      <c r="F193">
        <v>8</v>
      </c>
      <c r="G193">
        <v>33413</v>
      </c>
      <c r="H193" s="2">
        <v>45118</v>
      </c>
      <c r="I193">
        <v>267304</v>
      </c>
      <c r="J193">
        <v>6682.6</v>
      </c>
    </row>
    <row r="194" spans="1:10" x14ac:dyDescent="0.25">
      <c r="A194" s="1">
        <v>293</v>
      </c>
      <c r="B194" s="1" t="s">
        <v>14</v>
      </c>
      <c r="C194" s="1" t="s">
        <v>7</v>
      </c>
      <c r="D194" s="1" t="s">
        <v>15</v>
      </c>
      <c r="E194" s="1" t="s">
        <v>16</v>
      </c>
      <c r="F194">
        <v>3</v>
      </c>
      <c r="G194">
        <v>35801</v>
      </c>
      <c r="H194" s="2">
        <v>45119</v>
      </c>
      <c r="I194">
        <v>107403</v>
      </c>
      <c r="J194">
        <v>7160.2</v>
      </c>
    </row>
    <row r="195" spans="1:10" x14ac:dyDescent="0.25">
      <c r="A195" s="1">
        <v>294</v>
      </c>
      <c r="B195" s="1" t="s">
        <v>30</v>
      </c>
      <c r="C195" s="1" t="s">
        <v>23</v>
      </c>
      <c r="D195" s="1" t="s">
        <v>15</v>
      </c>
      <c r="E195" s="1" t="s">
        <v>27</v>
      </c>
      <c r="F195">
        <v>2</v>
      </c>
      <c r="G195">
        <v>33913</v>
      </c>
      <c r="H195" s="2">
        <v>45120</v>
      </c>
      <c r="I195">
        <v>67826</v>
      </c>
      <c r="J195">
        <v>6782.6</v>
      </c>
    </row>
    <row r="196" spans="1:10" x14ac:dyDescent="0.25">
      <c r="A196" s="1">
        <v>295</v>
      </c>
      <c r="B196" s="1" t="s">
        <v>26</v>
      </c>
      <c r="C196" s="1" t="s">
        <v>11</v>
      </c>
      <c r="D196" s="1" t="s">
        <v>18</v>
      </c>
      <c r="E196" s="1" t="s">
        <v>27</v>
      </c>
      <c r="F196">
        <v>1</v>
      </c>
      <c r="G196">
        <v>48037</v>
      </c>
      <c r="H196" s="2">
        <v>45121</v>
      </c>
      <c r="I196">
        <v>48037</v>
      </c>
      <c r="J196">
        <v>9607.4</v>
      </c>
    </row>
    <row r="197" spans="1:10" x14ac:dyDescent="0.25">
      <c r="A197" s="1">
        <v>296</v>
      </c>
      <c r="B197" s="1" t="s">
        <v>14</v>
      </c>
      <c r="C197" s="1" t="s">
        <v>7</v>
      </c>
      <c r="D197" s="1" t="s">
        <v>15</v>
      </c>
      <c r="E197" s="1" t="s">
        <v>16</v>
      </c>
      <c r="F197">
        <v>3</v>
      </c>
      <c r="G197">
        <v>41600</v>
      </c>
      <c r="H197" s="2">
        <v>45122</v>
      </c>
      <c r="I197">
        <v>124800</v>
      </c>
      <c r="J197">
        <v>8320</v>
      </c>
    </row>
    <row r="198" spans="1:10" x14ac:dyDescent="0.25">
      <c r="A198" s="1">
        <v>297</v>
      </c>
      <c r="B198" s="1" t="s">
        <v>17</v>
      </c>
      <c r="C198" s="1" t="s">
        <v>20</v>
      </c>
      <c r="D198" s="1" t="s">
        <v>12</v>
      </c>
      <c r="E198" s="1" t="s">
        <v>24</v>
      </c>
      <c r="F198">
        <v>2</v>
      </c>
      <c r="G198">
        <v>26280</v>
      </c>
      <c r="H198" s="2">
        <v>45123</v>
      </c>
      <c r="I198">
        <v>52560</v>
      </c>
      <c r="J198">
        <v>5256</v>
      </c>
    </row>
    <row r="199" spans="1:10" x14ac:dyDescent="0.25">
      <c r="A199" s="1">
        <v>298</v>
      </c>
      <c r="B199" s="1" t="s">
        <v>10</v>
      </c>
      <c r="C199" s="1" t="s">
        <v>20</v>
      </c>
      <c r="D199" s="1" t="s">
        <v>15</v>
      </c>
      <c r="E199" s="1" t="s">
        <v>9</v>
      </c>
      <c r="F199">
        <v>2</v>
      </c>
      <c r="G199">
        <v>25557</v>
      </c>
      <c r="H199" s="2">
        <v>45124</v>
      </c>
      <c r="I199">
        <v>51114</v>
      </c>
      <c r="J199">
        <v>5111.3999999999996</v>
      </c>
    </row>
    <row r="200" spans="1:10" x14ac:dyDescent="0.25">
      <c r="A200" s="1">
        <v>299</v>
      </c>
      <c r="B200" s="1" t="s">
        <v>28</v>
      </c>
      <c r="C200" s="1" t="s">
        <v>7</v>
      </c>
      <c r="D200" s="1" t="s">
        <v>15</v>
      </c>
      <c r="E200" s="1" t="s">
        <v>24</v>
      </c>
      <c r="F200">
        <v>6</v>
      </c>
      <c r="G200">
        <v>48054</v>
      </c>
      <c r="H200" s="2">
        <v>45125</v>
      </c>
      <c r="I200">
        <v>288324</v>
      </c>
      <c r="J200">
        <v>9610.7999999999993</v>
      </c>
    </row>
    <row r="201" spans="1:10" x14ac:dyDescent="0.25">
      <c r="A201" s="1">
        <v>300</v>
      </c>
      <c r="B201" s="1" t="s">
        <v>26</v>
      </c>
      <c r="C201" s="1" t="s">
        <v>23</v>
      </c>
      <c r="D201" s="1" t="s">
        <v>12</v>
      </c>
      <c r="E201" s="1" t="s">
        <v>13</v>
      </c>
      <c r="F201">
        <v>1</v>
      </c>
      <c r="G201">
        <v>36400</v>
      </c>
      <c r="H201" s="2">
        <v>45126</v>
      </c>
      <c r="I201">
        <v>36400</v>
      </c>
      <c r="J201">
        <v>7280</v>
      </c>
    </row>
    <row r="202" spans="1:10" x14ac:dyDescent="0.25">
      <c r="A202" s="1">
        <v>301</v>
      </c>
      <c r="B202" s="1" t="s">
        <v>26</v>
      </c>
      <c r="C202" s="1" t="s">
        <v>20</v>
      </c>
      <c r="D202" s="1" t="s">
        <v>15</v>
      </c>
      <c r="E202" s="1" t="s">
        <v>27</v>
      </c>
      <c r="F202">
        <v>2</v>
      </c>
      <c r="G202">
        <v>5494</v>
      </c>
      <c r="H202" s="2">
        <v>45127</v>
      </c>
      <c r="I202">
        <v>10988</v>
      </c>
      <c r="J202">
        <v>1098.8</v>
      </c>
    </row>
    <row r="203" spans="1:10" x14ac:dyDescent="0.25">
      <c r="A203" s="1">
        <v>302</v>
      </c>
      <c r="B203" s="1" t="s">
        <v>30</v>
      </c>
      <c r="C203" s="1" t="s">
        <v>20</v>
      </c>
      <c r="D203" s="1" t="s">
        <v>12</v>
      </c>
      <c r="E203" s="1" t="s">
        <v>27</v>
      </c>
      <c r="F203">
        <v>6</v>
      </c>
      <c r="G203">
        <v>16152</v>
      </c>
      <c r="H203" s="2">
        <v>45128</v>
      </c>
      <c r="I203">
        <v>96912</v>
      </c>
      <c r="J203">
        <v>3230.4</v>
      </c>
    </row>
    <row r="204" spans="1:10" x14ac:dyDescent="0.25">
      <c r="A204" s="1">
        <v>303</v>
      </c>
      <c r="B204" s="1" t="s">
        <v>31</v>
      </c>
      <c r="C204" s="1" t="s">
        <v>20</v>
      </c>
      <c r="D204" s="1" t="s">
        <v>15</v>
      </c>
      <c r="E204" s="1" t="s">
        <v>29</v>
      </c>
      <c r="F204">
        <v>3</v>
      </c>
      <c r="G204">
        <v>24895</v>
      </c>
      <c r="H204" s="2">
        <v>45129</v>
      </c>
      <c r="I204">
        <v>74685</v>
      </c>
      <c r="J204">
        <v>4979</v>
      </c>
    </row>
    <row r="205" spans="1:10" x14ac:dyDescent="0.25">
      <c r="A205" s="1">
        <v>304</v>
      </c>
      <c r="B205" s="1" t="s">
        <v>26</v>
      </c>
      <c r="C205" s="1" t="s">
        <v>7</v>
      </c>
      <c r="D205" s="1" t="s">
        <v>12</v>
      </c>
      <c r="E205" s="1" t="s">
        <v>13</v>
      </c>
      <c r="F205">
        <v>4</v>
      </c>
      <c r="G205">
        <v>10155</v>
      </c>
      <c r="H205" s="2">
        <v>45130</v>
      </c>
      <c r="I205">
        <v>40620</v>
      </c>
      <c r="J205">
        <v>2031</v>
      </c>
    </row>
    <row r="206" spans="1:10" x14ac:dyDescent="0.25">
      <c r="A206" s="1">
        <v>305</v>
      </c>
      <c r="B206" s="1" t="s">
        <v>22</v>
      </c>
      <c r="C206" s="1" t="s">
        <v>11</v>
      </c>
      <c r="D206" s="1" t="s">
        <v>15</v>
      </c>
      <c r="E206" s="1" t="s">
        <v>27</v>
      </c>
      <c r="F206">
        <v>1</v>
      </c>
      <c r="G206">
        <v>32883</v>
      </c>
      <c r="H206" s="2">
        <v>45131</v>
      </c>
      <c r="I206">
        <v>32883</v>
      </c>
      <c r="J206">
        <v>6576.6</v>
      </c>
    </row>
    <row r="207" spans="1:10" x14ac:dyDescent="0.25">
      <c r="A207" s="1">
        <v>306</v>
      </c>
      <c r="B207" s="1" t="s">
        <v>10</v>
      </c>
      <c r="C207" s="1" t="s">
        <v>20</v>
      </c>
      <c r="D207" s="1" t="s">
        <v>15</v>
      </c>
      <c r="E207" s="1" t="s">
        <v>13</v>
      </c>
      <c r="F207">
        <v>8</v>
      </c>
      <c r="G207">
        <v>44194</v>
      </c>
      <c r="H207" s="2">
        <v>45132</v>
      </c>
      <c r="I207">
        <v>353552</v>
      </c>
      <c r="J207">
        <v>8838.7999999999993</v>
      </c>
    </row>
    <row r="208" spans="1:10" x14ac:dyDescent="0.25">
      <c r="A208" s="1">
        <v>307</v>
      </c>
      <c r="B208" s="1" t="s">
        <v>10</v>
      </c>
      <c r="C208" s="1" t="s">
        <v>11</v>
      </c>
      <c r="D208" s="1" t="s">
        <v>18</v>
      </c>
      <c r="E208" s="1" t="s">
        <v>9</v>
      </c>
      <c r="F208">
        <v>7</v>
      </c>
      <c r="G208">
        <v>44001</v>
      </c>
      <c r="H208" s="2">
        <v>45133</v>
      </c>
      <c r="I208">
        <v>308007</v>
      </c>
      <c r="J208">
        <v>8800.2000000000007</v>
      </c>
    </row>
    <row r="209" spans="1:10" x14ac:dyDescent="0.25">
      <c r="A209" s="1">
        <v>308</v>
      </c>
      <c r="B209" s="1" t="s">
        <v>22</v>
      </c>
      <c r="C209" s="1" t="s">
        <v>23</v>
      </c>
      <c r="D209" s="1" t="s">
        <v>18</v>
      </c>
      <c r="E209" s="1" t="s">
        <v>25</v>
      </c>
      <c r="F209">
        <v>7</v>
      </c>
      <c r="G209">
        <v>2828</v>
      </c>
      <c r="H209" s="2">
        <v>45134</v>
      </c>
      <c r="I209">
        <v>19796</v>
      </c>
      <c r="J209">
        <v>565.6</v>
      </c>
    </row>
    <row r="210" spans="1:10" x14ac:dyDescent="0.25">
      <c r="A210" s="1">
        <v>309</v>
      </c>
      <c r="B210" s="1" t="s">
        <v>21</v>
      </c>
      <c r="C210" s="1" t="s">
        <v>20</v>
      </c>
      <c r="D210" s="1" t="s">
        <v>15</v>
      </c>
      <c r="E210" s="1" t="s">
        <v>27</v>
      </c>
      <c r="F210">
        <v>3</v>
      </c>
      <c r="G210">
        <v>46028</v>
      </c>
      <c r="H210" s="2">
        <v>45135</v>
      </c>
      <c r="I210">
        <v>138084</v>
      </c>
      <c r="J210">
        <v>9205.6</v>
      </c>
    </row>
    <row r="211" spans="1:10" x14ac:dyDescent="0.25">
      <c r="A211" s="1">
        <v>310</v>
      </c>
      <c r="B211" s="1" t="s">
        <v>22</v>
      </c>
      <c r="C211" s="1" t="s">
        <v>20</v>
      </c>
      <c r="D211" s="1" t="s">
        <v>15</v>
      </c>
      <c r="E211" s="1" t="s">
        <v>29</v>
      </c>
      <c r="F211">
        <v>3</v>
      </c>
      <c r="G211">
        <v>42898</v>
      </c>
      <c r="H211" s="2">
        <v>45136</v>
      </c>
      <c r="I211">
        <v>128694</v>
      </c>
      <c r="J211">
        <v>8579.6</v>
      </c>
    </row>
    <row r="212" spans="1:10" x14ac:dyDescent="0.25">
      <c r="A212" s="1">
        <v>311</v>
      </c>
      <c r="B212" s="1" t="s">
        <v>22</v>
      </c>
      <c r="C212" s="1" t="s">
        <v>23</v>
      </c>
      <c r="D212" s="1" t="s">
        <v>8</v>
      </c>
      <c r="E212" s="1" t="s">
        <v>9</v>
      </c>
      <c r="F212">
        <v>2</v>
      </c>
      <c r="G212">
        <v>33123</v>
      </c>
      <c r="H212" s="2">
        <v>45137</v>
      </c>
      <c r="I212">
        <v>66246</v>
      </c>
      <c r="J212">
        <v>6624.6</v>
      </c>
    </row>
    <row r="213" spans="1:10" x14ac:dyDescent="0.25">
      <c r="A213" s="1">
        <v>312</v>
      </c>
      <c r="B213" s="1" t="s">
        <v>10</v>
      </c>
      <c r="C213" s="1" t="s">
        <v>20</v>
      </c>
      <c r="D213" s="1" t="s">
        <v>12</v>
      </c>
      <c r="E213" s="1" t="s">
        <v>16</v>
      </c>
      <c r="F213">
        <v>1</v>
      </c>
      <c r="G213">
        <v>38573</v>
      </c>
      <c r="H213" s="2">
        <v>45138</v>
      </c>
      <c r="I213">
        <v>38573</v>
      </c>
      <c r="J213">
        <v>7714.6</v>
      </c>
    </row>
    <row r="214" spans="1:10" x14ac:dyDescent="0.25">
      <c r="A214" s="1">
        <v>313</v>
      </c>
      <c r="B214" s="1" t="s">
        <v>6</v>
      </c>
      <c r="C214" s="1" t="s">
        <v>11</v>
      </c>
      <c r="D214" s="1" t="s">
        <v>8</v>
      </c>
      <c r="E214" s="1" t="s">
        <v>13</v>
      </c>
      <c r="F214">
        <v>7</v>
      </c>
      <c r="G214">
        <v>1806</v>
      </c>
      <c r="H214" s="2">
        <v>45139</v>
      </c>
      <c r="I214">
        <v>12642</v>
      </c>
      <c r="J214">
        <v>361.2</v>
      </c>
    </row>
    <row r="215" spans="1:10" x14ac:dyDescent="0.25">
      <c r="A215" s="1">
        <v>314</v>
      </c>
      <c r="B215" s="1" t="s">
        <v>10</v>
      </c>
      <c r="C215" s="1" t="s">
        <v>7</v>
      </c>
      <c r="D215" s="1" t="s">
        <v>18</v>
      </c>
      <c r="E215" s="1" t="s">
        <v>16</v>
      </c>
      <c r="F215">
        <v>7</v>
      </c>
      <c r="G215">
        <v>41970</v>
      </c>
      <c r="H215" s="2">
        <v>45140</v>
      </c>
      <c r="I215">
        <v>293790</v>
      </c>
      <c r="J215">
        <v>8394</v>
      </c>
    </row>
    <row r="216" spans="1:10" x14ac:dyDescent="0.25">
      <c r="A216" s="1">
        <v>315</v>
      </c>
      <c r="B216" s="1" t="s">
        <v>31</v>
      </c>
      <c r="C216" s="1" t="s">
        <v>11</v>
      </c>
      <c r="D216" s="1" t="s">
        <v>18</v>
      </c>
      <c r="E216" s="1" t="s">
        <v>24</v>
      </c>
      <c r="F216">
        <v>2</v>
      </c>
      <c r="G216">
        <v>30757</v>
      </c>
      <c r="H216" s="2">
        <v>45141</v>
      </c>
      <c r="I216">
        <v>61514</v>
      </c>
      <c r="J216">
        <v>6151.4</v>
      </c>
    </row>
    <row r="217" spans="1:10" x14ac:dyDescent="0.25">
      <c r="A217" s="1">
        <v>316</v>
      </c>
      <c r="B217" s="1" t="s">
        <v>30</v>
      </c>
      <c r="C217" s="1" t="s">
        <v>7</v>
      </c>
      <c r="D217" s="1" t="s">
        <v>18</v>
      </c>
      <c r="E217" s="1" t="s">
        <v>9</v>
      </c>
      <c r="F217">
        <v>7</v>
      </c>
      <c r="G217">
        <v>35636</v>
      </c>
      <c r="H217" s="2">
        <v>45142</v>
      </c>
      <c r="I217">
        <v>249452</v>
      </c>
      <c r="J217">
        <v>7127.2</v>
      </c>
    </row>
    <row r="218" spans="1:10" x14ac:dyDescent="0.25">
      <c r="A218" s="1">
        <v>317</v>
      </c>
      <c r="B218" s="1" t="s">
        <v>14</v>
      </c>
      <c r="C218" s="1" t="s">
        <v>7</v>
      </c>
      <c r="D218" s="1" t="s">
        <v>18</v>
      </c>
      <c r="E218" s="1" t="s">
        <v>16</v>
      </c>
      <c r="F218">
        <v>8</v>
      </c>
      <c r="G218">
        <v>15561</v>
      </c>
      <c r="H218" s="2">
        <v>45143</v>
      </c>
      <c r="I218">
        <v>124488</v>
      </c>
      <c r="J218">
        <v>3112.2</v>
      </c>
    </row>
    <row r="219" spans="1:10" x14ac:dyDescent="0.25">
      <c r="A219" s="1">
        <v>318</v>
      </c>
      <c r="B219" s="1" t="s">
        <v>6</v>
      </c>
      <c r="C219" s="1" t="s">
        <v>11</v>
      </c>
      <c r="D219" s="1" t="s">
        <v>15</v>
      </c>
      <c r="E219" s="1" t="s">
        <v>19</v>
      </c>
      <c r="F219">
        <v>1</v>
      </c>
      <c r="G219">
        <v>49280</v>
      </c>
      <c r="H219" s="2">
        <v>45144</v>
      </c>
      <c r="I219">
        <v>49280</v>
      </c>
      <c r="J219">
        <v>9856</v>
      </c>
    </row>
    <row r="220" spans="1:10" x14ac:dyDescent="0.25">
      <c r="A220" s="1">
        <v>319</v>
      </c>
      <c r="B220" s="1" t="s">
        <v>28</v>
      </c>
      <c r="C220" s="1" t="s">
        <v>11</v>
      </c>
      <c r="D220" s="1" t="s">
        <v>18</v>
      </c>
      <c r="E220" s="1" t="s">
        <v>19</v>
      </c>
      <c r="F220">
        <v>9</v>
      </c>
      <c r="G220">
        <v>25262</v>
      </c>
      <c r="H220" s="2">
        <v>45145</v>
      </c>
      <c r="I220">
        <v>227358</v>
      </c>
      <c r="J220">
        <v>5052.3999999999996</v>
      </c>
    </row>
    <row r="221" spans="1:10" x14ac:dyDescent="0.25">
      <c r="A221" s="1">
        <v>320</v>
      </c>
      <c r="B221" s="1" t="s">
        <v>14</v>
      </c>
      <c r="C221" s="1" t="s">
        <v>11</v>
      </c>
      <c r="D221" s="1" t="s">
        <v>15</v>
      </c>
      <c r="E221" s="1" t="s">
        <v>27</v>
      </c>
      <c r="F221">
        <v>7</v>
      </c>
      <c r="G221">
        <v>15899</v>
      </c>
      <c r="H221" s="2">
        <v>45146</v>
      </c>
      <c r="I221">
        <v>111293</v>
      </c>
      <c r="J221">
        <v>3179.8</v>
      </c>
    </row>
    <row r="222" spans="1:10" x14ac:dyDescent="0.25">
      <c r="A222" s="1">
        <v>321</v>
      </c>
      <c r="B222" s="1" t="s">
        <v>30</v>
      </c>
      <c r="C222" s="1" t="s">
        <v>11</v>
      </c>
      <c r="D222" s="1" t="s">
        <v>15</v>
      </c>
      <c r="E222" s="1" t="s">
        <v>13</v>
      </c>
      <c r="F222">
        <v>3</v>
      </c>
      <c r="G222">
        <v>49988</v>
      </c>
      <c r="H222" s="2">
        <v>45147</v>
      </c>
      <c r="I222">
        <v>149964</v>
      </c>
      <c r="J222">
        <v>9997.6</v>
      </c>
    </row>
    <row r="223" spans="1:10" x14ac:dyDescent="0.25">
      <c r="A223" s="1">
        <v>322</v>
      </c>
      <c r="B223" s="1" t="s">
        <v>31</v>
      </c>
      <c r="C223" s="1" t="s">
        <v>23</v>
      </c>
      <c r="D223" s="1" t="s">
        <v>18</v>
      </c>
      <c r="E223" s="1" t="s">
        <v>25</v>
      </c>
      <c r="F223">
        <v>8</v>
      </c>
      <c r="G223">
        <v>16934</v>
      </c>
      <c r="H223" s="2">
        <v>45148</v>
      </c>
      <c r="I223">
        <v>135472</v>
      </c>
      <c r="J223">
        <v>3386.8</v>
      </c>
    </row>
    <row r="224" spans="1:10" x14ac:dyDescent="0.25">
      <c r="A224" s="1">
        <v>323</v>
      </c>
      <c r="B224" s="1" t="s">
        <v>31</v>
      </c>
      <c r="C224" s="1" t="s">
        <v>20</v>
      </c>
      <c r="D224" s="1" t="s">
        <v>18</v>
      </c>
      <c r="E224" s="1" t="s">
        <v>9</v>
      </c>
      <c r="F224">
        <v>7</v>
      </c>
      <c r="G224">
        <v>39197</v>
      </c>
      <c r="H224" s="2">
        <v>45149</v>
      </c>
      <c r="I224">
        <v>274379</v>
      </c>
      <c r="J224">
        <v>7839.4</v>
      </c>
    </row>
    <row r="225" spans="1:10" x14ac:dyDescent="0.25">
      <c r="A225" s="1">
        <v>324</v>
      </c>
      <c r="B225" s="1" t="s">
        <v>28</v>
      </c>
      <c r="C225" s="1" t="s">
        <v>7</v>
      </c>
      <c r="D225" s="1" t="s">
        <v>12</v>
      </c>
      <c r="E225" s="1" t="s">
        <v>27</v>
      </c>
      <c r="F225">
        <v>8</v>
      </c>
      <c r="G225">
        <v>42844</v>
      </c>
      <c r="H225" s="2">
        <v>45150</v>
      </c>
      <c r="I225">
        <v>342752</v>
      </c>
      <c r="J225">
        <v>8568.7999999999993</v>
      </c>
    </row>
    <row r="226" spans="1:10" x14ac:dyDescent="0.25">
      <c r="A226" s="1">
        <v>325</v>
      </c>
      <c r="B226" s="1" t="s">
        <v>6</v>
      </c>
      <c r="C226" s="1" t="s">
        <v>11</v>
      </c>
      <c r="D226" s="1" t="s">
        <v>8</v>
      </c>
      <c r="E226" s="1" t="s">
        <v>29</v>
      </c>
      <c r="F226">
        <v>6</v>
      </c>
      <c r="G226">
        <v>37332</v>
      </c>
      <c r="H226" s="2">
        <v>45151</v>
      </c>
      <c r="I226">
        <v>223992</v>
      </c>
      <c r="J226">
        <v>7466.4</v>
      </c>
    </row>
    <row r="227" spans="1:10" x14ac:dyDescent="0.25">
      <c r="A227" s="1">
        <v>326</v>
      </c>
      <c r="B227" s="1" t="s">
        <v>21</v>
      </c>
      <c r="C227" s="1" t="s">
        <v>11</v>
      </c>
      <c r="D227" s="1" t="s">
        <v>18</v>
      </c>
      <c r="E227" s="1" t="s">
        <v>24</v>
      </c>
      <c r="F227">
        <v>9</v>
      </c>
      <c r="G227">
        <v>35157</v>
      </c>
      <c r="H227" s="2">
        <v>45152</v>
      </c>
      <c r="I227">
        <v>316413</v>
      </c>
      <c r="J227">
        <v>7031.4</v>
      </c>
    </row>
    <row r="228" spans="1:10" x14ac:dyDescent="0.25">
      <c r="A228" s="1">
        <v>327</v>
      </c>
      <c r="B228" s="1" t="s">
        <v>22</v>
      </c>
      <c r="C228" s="1" t="s">
        <v>11</v>
      </c>
      <c r="D228" s="1" t="s">
        <v>12</v>
      </c>
      <c r="E228" s="1" t="s">
        <v>13</v>
      </c>
      <c r="F228">
        <v>5</v>
      </c>
      <c r="G228">
        <v>12593</v>
      </c>
      <c r="H228" s="2">
        <v>45153</v>
      </c>
      <c r="I228">
        <v>62965</v>
      </c>
      <c r="J228">
        <v>2518.6</v>
      </c>
    </row>
    <row r="229" spans="1:10" x14ac:dyDescent="0.25">
      <c r="A229" s="1">
        <v>328</v>
      </c>
      <c r="B229" s="1" t="s">
        <v>6</v>
      </c>
      <c r="C229" s="1" t="s">
        <v>23</v>
      </c>
      <c r="D229" s="1" t="s">
        <v>12</v>
      </c>
      <c r="E229" s="1" t="s">
        <v>9</v>
      </c>
      <c r="F229">
        <v>3</v>
      </c>
      <c r="G229">
        <v>41042</v>
      </c>
      <c r="H229" s="2">
        <v>45154</v>
      </c>
      <c r="I229">
        <v>123126</v>
      </c>
      <c r="J229">
        <v>8208.4</v>
      </c>
    </row>
    <row r="230" spans="1:10" x14ac:dyDescent="0.25">
      <c r="A230" s="1">
        <v>329</v>
      </c>
      <c r="B230" s="1" t="s">
        <v>21</v>
      </c>
      <c r="C230" s="1" t="s">
        <v>11</v>
      </c>
      <c r="D230" s="1" t="s">
        <v>8</v>
      </c>
      <c r="E230" s="1" t="s">
        <v>19</v>
      </c>
      <c r="F230">
        <v>3</v>
      </c>
      <c r="G230">
        <v>18320</v>
      </c>
      <c r="H230" s="2">
        <v>45155</v>
      </c>
      <c r="I230">
        <v>54960</v>
      </c>
      <c r="J230">
        <v>3664</v>
      </c>
    </row>
    <row r="231" spans="1:10" x14ac:dyDescent="0.25">
      <c r="A231" s="1">
        <v>330</v>
      </c>
      <c r="B231" s="1" t="s">
        <v>31</v>
      </c>
      <c r="C231" s="1" t="s">
        <v>11</v>
      </c>
      <c r="D231" s="1" t="s">
        <v>15</v>
      </c>
      <c r="E231" s="1" t="s">
        <v>9</v>
      </c>
      <c r="F231">
        <v>1</v>
      </c>
      <c r="G231">
        <v>28376</v>
      </c>
      <c r="H231" s="2">
        <v>45156</v>
      </c>
      <c r="I231">
        <v>28376</v>
      </c>
      <c r="J231">
        <v>5675.2</v>
      </c>
    </row>
    <row r="232" spans="1:10" x14ac:dyDescent="0.25">
      <c r="A232" s="1">
        <v>331</v>
      </c>
      <c r="B232" s="1" t="s">
        <v>10</v>
      </c>
      <c r="C232" s="1" t="s">
        <v>11</v>
      </c>
      <c r="D232" s="1" t="s">
        <v>18</v>
      </c>
      <c r="E232" s="1" t="s">
        <v>25</v>
      </c>
      <c r="F232">
        <v>8</v>
      </c>
      <c r="G232">
        <v>44513</v>
      </c>
      <c r="H232" s="2">
        <v>45157</v>
      </c>
      <c r="I232">
        <v>356104</v>
      </c>
      <c r="J232">
        <v>8902.6</v>
      </c>
    </row>
    <row r="233" spans="1:10" x14ac:dyDescent="0.25">
      <c r="A233" s="1">
        <v>332</v>
      </c>
      <c r="B233" s="1" t="s">
        <v>30</v>
      </c>
      <c r="C233" s="1" t="s">
        <v>20</v>
      </c>
      <c r="D233" s="1" t="s">
        <v>8</v>
      </c>
      <c r="E233" s="1" t="s">
        <v>19</v>
      </c>
      <c r="F233">
        <v>2</v>
      </c>
      <c r="G233">
        <v>15199</v>
      </c>
      <c r="H233" s="2">
        <v>45158</v>
      </c>
      <c r="I233">
        <v>30398</v>
      </c>
      <c r="J233">
        <v>3039.8</v>
      </c>
    </row>
    <row r="234" spans="1:10" x14ac:dyDescent="0.25">
      <c r="A234" s="1">
        <v>333</v>
      </c>
      <c r="B234" s="1" t="s">
        <v>28</v>
      </c>
      <c r="C234" s="1" t="s">
        <v>23</v>
      </c>
      <c r="D234" s="1" t="s">
        <v>18</v>
      </c>
      <c r="E234" s="1" t="s">
        <v>25</v>
      </c>
      <c r="F234">
        <v>3</v>
      </c>
      <c r="G234">
        <v>16876</v>
      </c>
      <c r="H234" s="2">
        <v>45159</v>
      </c>
      <c r="I234">
        <v>50628</v>
      </c>
      <c r="J234">
        <v>3375.2</v>
      </c>
    </row>
    <row r="235" spans="1:10" x14ac:dyDescent="0.25">
      <c r="A235" s="1">
        <v>334</v>
      </c>
      <c r="B235" s="1" t="s">
        <v>30</v>
      </c>
      <c r="C235" s="1" t="s">
        <v>11</v>
      </c>
      <c r="D235" s="1" t="s">
        <v>12</v>
      </c>
      <c r="E235" s="1" t="s">
        <v>29</v>
      </c>
      <c r="F235">
        <v>8</v>
      </c>
      <c r="G235">
        <v>9245</v>
      </c>
      <c r="H235" s="2">
        <v>45160</v>
      </c>
      <c r="I235">
        <v>73960</v>
      </c>
      <c r="J235">
        <v>1849</v>
      </c>
    </row>
    <row r="236" spans="1:10" x14ac:dyDescent="0.25">
      <c r="A236" s="1">
        <v>335</v>
      </c>
      <c r="B236" s="1" t="s">
        <v>17</v>
      </c>
      <c r="C236" s="1" t="s">
        <v>7</v>
      </c>
      <c r="D236" s="1" t="s">
        <v>12</v>
      </c>
      <c r="E236" s="1" t="s">
        <v>24</v>
      </c>
      <c r="F236">
        <v>8</v>
      </c>
      <c r="G236">
        <v>8214</v>
      </c>
      <c r="H236" s="2">
        <v>45161</v>
      </c>
      <c r="I236">
        <v>65712</v>
      </c>
      <c r="J236">
        <v>1642.8</v>
      </c>
    </row>
    <row r="237" spans="1:10" x14ac:dyDescent="0.25">
      <c r="A237" s="1">
        <v>336</v>
      </c>
      <c r="B237" s="1" t="s">
        <v>17</v>
      </c>
      <c r="C237" s="1" t="s">
        <v>7</v>
      </c>
      <c r="D237" s="1" t="s">
        <v>15</v>
      </c>
      <c r="E237" s="1" t="s">
        <v>29</v>
      </c>
      <c r="F237">
        <v>4</v>
      </c>
      <c r="G237">
        <v>1726</v>
      </c>
      <c r="H237" s="2">
        <v>45162</v>
      </c>
      <c r="I237">
        <v>6904</v>
      </c>
      <c r="J237">
        <v>345.2</v>
      </c>
    </row>
    <row r="238" spans="1:10" x14ac:dyDescent="0.25">
      <c r="A238" s="1">
        <v>337</v>
      </c>
      <c r="B238" s="1" t="s">
        <v>6</v>
      </c>
      <c r="C238" s="1" t="s">
        <v>7</v>
      </c>
      <c r="D238" s="1" t="s">
        <v>12</v>
      </c>
      <c r="E238" s="1" t="s">
        <v>27</v>
      </c>
      <c r="F238">
        <v>4</v>
      </c>
      <c r="G238">
        <v>47600</v>
      </c>
      <c r="H238" s="2">
        <v>45163</v>
      </c>
      <c r="I238">
        <v>190400</v>
      </c>
      <c r="J238">
        <v>9520</v>
      </c>
    </row>
    <row r="239" spans="1:10" x14ac:dyDescent="0.25">
      <c r="A239" s="1">
        <v>338</v>
      </c>
      <c r="B239" s="1" t="s">
        <v>31</v>
      </c>
      <c r="C239" s="1" t="s">
        <v>23</v>
      </c>
      <c r="D239" s="1" t="s">
        <v>12</v>
      </c>
      <c r="E239" s="1" t="s">
        <v>27</v>
      </c>
      <c r="F239">
        <v>5</v>
      </c>
      <c r="G239">
        <v>12362</v>
      </c>
      <c r="H239" s="2">
        <v>45164</v>
      </c>
      <c r="I239">
        <v>61810</v>
      </c>
      <c r="J239">
        <v>2472.4</v>
      </c>
    </row>
    <row r="240" spans="1:10" x14ac:dyDescent="0.25">
      <c r="A240" s="1">
        <v>339</v>
      </c>
      <c r="B240" s="1" t="s">
        <v>31</v>
      </c>
      <c r="C240" s="1" t="s">
        <v>23</v>
      </c>
      <c r="D240" s="1" t="s">
        <v>8</v>
      </c>
      <c r="E240" s="1" t="s">
        <v>29</v>
      </c>
      <c r="F240">
        <v>6</v>
      </c>
      <c r="G240">
        <v>19297</v>
      </c>
      <c r="H240" s="2">
        <v>45165</v>
      </c>
      <c r="I240">
        <v>115782</v>
      </c>
      <c r="J240">
        <v>3859.4</v>
      </c>
    </row>
    <row r="241" spans="1:10" x14ac:dyDescent="0.25">
      <c r="A241" s="1">
        <v>340</v>
      </c>
      <c r="B241" s="1" t="s">
        <v>22</v>
      </c>
      <c r="C241" s="1" t="s">
        <v>7</v>
      </c>
      <c r="D241" s="1" t="s">
        <v>18</v>
      </c>
      <c r="E241" s="1" t="s">
        <v>24</v>
      </c>
      <c r="F241">
        <v>5</v>
      </c>
      <c r="G241">
        <v>31448</v>
      </c>
      <c r="H241" s="2">
        <v>45166</v>
      </c>
      <c r="I241">
        <v>157240</v>
      </c>
      <c r="J241">
        <v>6289.6</v>
      </c>
    </row>
    <row r="242" spans="1:10" x14ac:dyDescent="0.25">
      <c r="A242" s="1">
        <v>341</v>
      </c>
      <c r="B242" s="1" t="s">
        <v>22</v>
      </c>
      <c r="C242" s="1" t="s">
        <v>11</v>
      </c>
      <c r="D242" s="1" t="s">
        <v>18</v>
      </c>
      <c r="E242" s="1" t="s">
        <v>29</v>
      </c>
      <c r="F242">
        <v>7</v>
      </c>
      <c r="G242">
        <v>27172</v>
      </c>
      <c r="H242" s="2">
        <v>45167</v>
      </c>
      <c r="I242">
        <v>190204</v>
      </c>
      <c r="J242">
        <v>5434.4</v>
      </c>
    </row>
    <row r="243" spans="1:10" x14ac:dyDescent="0.25">
      <c r="A243" s="1">
        <v>342</v>
      </c>
      <c r="B243" s="1" t="s">
        <v>22</v>
      </c>
      <c r="C243" s="1" t="s">
        <v>23</v>
      </c>
      <c r="D243" s="1" t="s">
        <v>8</v>
      </c>
      <c r="E243" s="1" t="s">
        <v>24</v>
      </c>
      <c r="F243">
        <v>2</v>
      </c>
      <c r="G243">
        <v>43874</v>
      </c>
      <c r="H243" s="2">
        <v>45168</v>
      </c>
      <c r="I243">
        <v>87748</v>
      </c>
      <c r="J243">
        <v>8774.7999999999993</v>
      </c>
    </row>
    <row r="244" spans="1:10" x14ac:dyDescent="0.25">
      <c r="A244" s="1">
        <v>343</v>
      </c>
      <c r="B244" s="1" t="s">
        <v>10</v>
      </c>
      <c r="C244" s="1" t="s">
        <v>7</v>
      </c>
      <c r="D244" s="1" t="s">
        <v>15</v>
      </c>
      <c r="E244" s="1" t="s">
        <v>24</v>
      </c>
      <c r="F244">
        <v>7</v>
      </c>
      <c r="G244">
        <v>8657</v>
      </c>
      <c r="H244" s="2">
        <v>45169</v>
      </c>
      <c r="I244">
        <v>60599</v>
      </c>
      <c r="J244">
        <v>1731.4</v>
      </c>
    </row>
    <row r="245" spans="1:10" x14ac:dyDescent="0.25">
      <c r="A245" s="1">
        <v>344</v>
      </c>
      <c r="B245" s="1" t="s">
        <v>14</v>
      </c>
      <c r="C245" s="1" t="s">
        <v>7</v>
      </c>
      <c r="D245" s="1" t="s">
        <v>18</v>
      </c>
      <c r="E245" s="1" t="s">
        <v>16</v>
      </c>
      <c r="F245">
        <v>7</v>
      </c>
      <c r="G245">
        <v>19850</v>
      </c>
      <c r="H245" s="2">
        <v>45170</v>
      </c>
      <c r="I245">
        <v>138950</v>
      </c>
      <c r="J245">
        <v>3970</v>
      </c>
    </row>
    <row r="246" spans="1:10" x14ac:dyDescent="0.25">
      <c r="A246" s="1">
        <v>345</v>
      </c>
      <c r="B246" s="1" t="s">
        <v>26</v>
      </c>
      <c r="C246" s="1" t="s">
        <v>11</v>
      </c>
      <c r="D246" s="1" t="s">
        <v>12</v>
      </c>
      <c r="E246" s="1" t="s">
        <v>19</v>
      </c>
      <c r="F246">
        <v>1</v>
      </c>
      <c r="G246">
        <v>26425</v>
      </c>
      <c r="H246" s="2">
        <v>45171</v>
      </c>
      <c r="I246">
        <v>26425</v>
      </c>
      <c r="J246">
        <v>5285</v>
      </c>
    </row>
    <row r="247" spans="1:10" x14ac:dyDescent="0.25">
      <c r="A247" s="1">
        <v>346</v>
      </c>
      <c r="B247" s="1" t="s">
        <v>14</v>
      </c>
      <c r="C247" s="1" t="s">
        <v>20</v>
      </c>
      <c r="D247" s="1" t="s">
        <v>18</v>
      </c>
      <c r="E247" s="1" t="s">
        <v>13</v>
      </c>
      <c r="F247">
        <v>7</v>
      </c>
      <c r="G247">
        <v>27685</v>
      </c>
      <c r="H247" s="2">
        <v>45172</v>
      </c>
      <c r="I247">
        <v>193795</v>
      </c>
      <c r="J247">
        <v>5537</v>
      </c>
    </row>
    <row r="248" spans="1:10" x14ac:dyDescent="0.25">
      <c r="A248" s="1">
        <v>347</v>
      </c>
      <c r="B248" s="1" t="s">
        <v>30</v>
      </c>
      <c r="C248" s="1" t="s">
        <v>23</v>
      </c>
      <c r="D248" s="1" t="s">
        <v>12</v>
      </c>
      <c r="E248" s="1" t="s">
        <v>24</v>
      </c>
      <c r="F248">
        <v>5</v>
      </c>
      <c r="G248">
        <v>48319</v>
      </c>
      <c r="H248" s="2">
        <v>45173</v>
      </c>
      <c r="I248">
        <v>241595</v>
      </c>
      <c r="J248">
        <v>9663.7999999999993</v>
      </c>
    </row>
    <row r="249" spans="1:10" x14ac:dyDescent="0.25">
      <c r="A249" s="1">
        <v>348</v>
      </c>
      <c r="B249" s="1" t="s">
        <v>14</v>
      </c>
      <c r="C249" s="1" t="s">
        <v>11</v>
      </c>
      <c r="D249" s="1" t="s">
        <v>15</v>
      </c>
      <c r="E249" s="1" t="s">
        <v>25</v>
      </c>
      <c r="F249">
        <v>3</v>
      </c>
      <c r="G249">
        <v>25578</v>
      </c>
      <c r="H249" s="2">
        <v>45174</v>
      </c>
      <c r="I249">
        <v>76734</v>
      </c>
      <c r="J249">
        <v>5115.6000000000004</v>
      </c>
    </row>
    <row r="250" spans="1:10" x14ac:dyDescent="0.25">
      <c r="A250" s="1">
        <v>349</v>
      </c>
      <c r="B250" s="1" t="s">
        <v>10</v>
      </c>
      <c r="C250" s="1" t="s">
        <v>7</v>
      </c>
      <c r="D250" s="1" t="s">
        <v>8</v>
      </c>
      <c r="E250" s="1" t="s">
        <v>24</v>
      </c>
      <c r="F250">
        <v>3</v>
      </c>
      <c r="G250">
        <v>29831</v>
      </c>
      <c r="H250" s="2">
        <v>45175</v>
      </c>
      <c r="I250">
        <v>89493</v>
      </c>
      <c r="J250">
        <v>5966.2</v>
      </c>
    </row>
    <row r="251" spans="1:10" x14ac:dyDescent="0.25">
      <c r="A251" s="1">
        <v>350</v>
      </c>
      <c r="B251" s="1" t="s">
        <v>30</v>
      </c>
      <c r="C251" s="1" t="s">
        <v>7</v>
      </c>
      <c r="D251" s="1" t="s">
        <v>18</v>
      </c>
      <c r="E251" s="1" t="s">
        <v>24</v>
      </c>
      <c r="F251">
        <v>4</v>
      </c>
      <c r="G251">
        <v>8906</v>
      </c>
      <c r="H251" s="2">
        <v>45176</v>
      </c>
      <c r="I251">
        <v>35624</v>
      </c>
      <c r="J251">
        <v>1781.2</v>
      </c>
    </row>
    <row r="252" spans="1:10" x14ac:dyDescent="0.25">
      <c r="A252" s="1">
        <v>351</v>
      </c>
      <c r="B252" s="1" t="s">
        <v>14</v>
      </c>
      <c r="C252" s="1" t="s">
        <v>11</v>
      </c>
      <c r="D252" s="1" t="s">
        <v>8</v>
      </c>
      <c r="E252" s="1" t="s">
        <v>24</v>
      </c>
      <c r="F252">
        <v>2</v>
      </c>
      <c r="G252">
        <v>8287</v>
      </c>
      <c r="H252" s="2">
        <v>45177</v>
      </c>
      <c r="I252">
        <v>16574</v>
      </c>
      <c r="J252">
        <v>1657.4</v>
      </c>
    </row>
    <row r="253" spans="1:10" x14ac:dyDescent="0.25">
      <c r="A253" s="1">
        <v>352</v>
      </c>
      <c r="B253" s="1" t="s">
        <v>10</v>
      </c>
      <c r="C253" s="1" t="s">
        <v>23</v>
      </c>
      <c r="D253" s="1" t="s">
        <v>18</v>
      </c>
      <c r="E253" s="1" t="s">
        <v>16</v>
      </c>
      <c r="F253">
        <v>2</v>
      </c>
      <c r="G253">
        <v>34660</v>
      </c>
      <c r="H253" s="2">
        <v>45178</v>
      </c>
      <c r="I253">
        <v>69320</v>
      </c>
      <c r="J253">
        <v>6932</v>
      </c>
    </row>
    <row r="254" spans="1:10" x14ac:dyDescent="0.25">
      <c r="A254" s="1">
        <v>353</v>
      </c>
      <c r="B254" s="1" t="s">
        <v>26</v>
      </c>
      <c r="C254" s="1" t="s">
        <v>20</v>
      </c>
      <c r="D254" s="1" t="s">
        <v>12</v>
      </c>
      <c r="E254" s="1" t="s">
        <v>19</v>
      </c>
      <c r="F254">
        <v>1</v>
      </c>
      <c r="G254">
        <v>11222</v>
      </c>
      <c r="H254" s="2">
        <v>45179</v>
      </c>
      <c r="I254">
        <v>11222</v>
      </c>
      <c r="J254">
        <v>2244.4</v>
      </c>
    </row>
    <row r="255" spans="1:10" x14ac:dyDescent="0.25">
      <c r="A255" s="1">
        <v>354</v>
      </c>
      <c r="B255" s="1" t="s">
        <v>14</v>
      </c>
      <c r="C255" s="1" t="s">
        <v>20</v>
      </c>
      <c r="D255" s="1" t="s">
        <v>8</v>
      </c>
      <c r="E255" s="1" t="s">
        <v>16</v>
      </c>
      <c r="F255">
        <v>5</v>
      </c>
      <c r="G255">
        <v>38443</v>
      </c>
      <c r="H255" s="2">
        <v>45180</v>
      </c>
      <c r="I255">
        <v>192215</v>
      </c>
      <c r="J255">
        <v>7688.6</v>
      </c>
    </row>
    <row r="256" spans="1:10" x14ac:dyDescent="0.25">
      <c r="A256" s="1">
        <v>355</v>
      </c>
      <c r="B256" s="1" t="s">
        <v>10</v>
      </c>
      <c r="C256" s="1" t="s">
        <v>7</v>
      </c>
      <c r="D256" s="1" t="s">
        <v>18</v>
      </c>
      <c r="E256" s="1" t="s">
        <v>27</v>
      </c>
      <c r="F256">
        <v>4</v>
      </c>
      <c r="G256">
        <v>35701</v>
      </c>
      <c r="H256" s="2">
        <v>45181</v>
      </c>
      <c r="I256">
        <v>142804</v>
      </c>
      <c r="J256">
        <v>7140.2</v>
      </c>
    </row>
    <row r="257" spans="1:10" x14ac:dyDescent="0.25">
      <c r="A257" s="1">
        <v>356</v>
      </c>
      <c r="B257" s="1" t="s">
        <v>22</v>
      </c>
      <c r="C257" s="1" t="s">
        <v>23</v>
      </c>
      <c r="D257" s="1" t="s">
        <v>12</v>
      </c>
      <c r="E257" s="1" t="s">
        <v>16</v>
      </c>
      <c r="F257">
        <v>2</v>
      </c>
      <c r="G257">
        <v>18764</v>
      </c>
      <c r="H257" s="2">
        <v>45182</v>
      </c>
      <c r="I257">
        <v>37528</v>
      </c>
      <c r="J257">
        <v>3752.8</v>
      </c>
    </row>
    <row r="258" spans="1:10" x14ac:dyDescent="0.25">
      <c r="A258" s="1">
        <v>357</v>
      </c>
      <c r="B258" s="1" t="s">
        <v>31</v>
      </c>
      <c r="C258" s="1" t="s">
        <v>20</v>
      </c>
      <c r="D258" s="1" t="s">
        <v>8</v>
      </c>
      <c r="E258" s="1" t="s">
        <v>25</v>
      </c>
      <c r="F258">
        <v>3</v>
      </c>
      <c r="G258">
        <v>45641</v>
      </c>
      <c r="H258" s="2">
        <v>45183</v>
      </c>
      <c r="I258">
        <v>136923</v>
      </c>
      <c r="J258">
        <v>9128.2000000000007</v>
      </c>
    </row>
    <row r="259" spans="1:10" x14ac:dyDescent="0.25">
      <c r="A259" s="1">
        <v>358</v>
      </c>
      <c r="B259" s="1" t="s">
        <v>22</v>
      </c>
      <c r="C259" s="1" t="s">
        <v>23</v>
      </c>
      <c r="D259" s="1" t="s">
        <v>8</v>
      </c>
      <c r="E259" s="1" t="s">
        <v>25</v>
      </c>
      <c r="F259">
        <v>7</v>
      </c>
      <c r="G259">
        <v>18674</v>
      </c>
      <c r="H259" s="2">
        <v>45184</v>
      </c>
      <c r="I259">
        <v>130718</v>
      </c>
      <c r="J259">
        <v>3734.8</v>
      </c>
    </row>
    <row r="260" spans="1:10" x14ac:dyDescent="0.25">
      <c r="A260" s="1">
        <v>359</v>
      </c>
      <c r="B260" s="1" t="s">
        <v>31</v>
      </c>
      <c r="C260" s="1" t="s">
        <v>23</v>
      </c>
      <c r="D260" s="1" t="s">
        <v>18</v>
      </c>
      <c r="E260" s="1" t="s">
        <v>16</v>
      </c>
      <c r="F260">
        <v>7</v>
      </c>
      <c r="G260">
        <v>19024</v>
      </c>
      <c r="H260" s="2">
        <v>45185</v>
      </c>
      <c r="I260">
        <v>133168</v>
      </c>
      <c r="J260">
        <v>3804.8</v>
      </c>
    </row>
    <row r="261" spans="1:10" x14ac:dyDescent="0.25">
      <c r="A261" s="1">
        <v>360</v>
      </c>
      <c r="B261" s="1" t="s">
        <v>28</v>
      </c>
      <c r="C261" s="1" t="s">
        <v>7</v>
      </c>
      <c r="D261" s="1" t="s">
        <v>18</v>
      </c>
      <c r="E261" s="1" t="s">
        <v>19</v>
      </c>
      <c r="F261">
        <v>4</v>
      </c>
      <c r="G261">
        <v>47007</v>
      </c>
      <c r="H261" s="2">
        <v>45186</v>
      </c>
      <c r="I261">
        <v>188028</v>
      </c>
      <c r="J261">
        <v>9401.4</v>
      </c>
    </row>
    <row r="262" spans="1:10" x14ac:dyDescent="0.25">
      <c r="A262" s="1">
        <v>361</v>
      </c>
      <c r="B262" s="1" t="s">
        <v>28</v>
      </c>
      <c r="C262" s="1" t="s">
        <v>20</v>
      </c>
      <c r="D262" s="1" t="s">
        <v>18</v>
      </c>
      <c r="E262" s="1" t="s">
        <v>29</v>
      </c>
      <c r="F262">
        <v>5</v>
      </c>
      <c r="G262">
        <v>24874</v>
      </c>
      <c r="H262" s="2">
        <v>45187</v>
      </c>
      <c r="I262">
        <v>124370</v>
      </c>
      <c r="J262">
        <v>4974.8</v>
      </c>
    </row>
    <row r="263" spans="1:10" x14ac:dyDescent="0.25">
      <c r="A263" s="1">
        <v>362</v>
      </c>
      <c r="B263" s="1" t="s">
        <v>28</v>
      </c>
      <c r="C263" s="1" t="s">
        <v>11</v>
      </c>
      <c r="D263" s="1" t="s">
        <v>12</v>
      </c>
      <c r="E263" s="1" t="s">
        <v>13</v>
      </c>
      <c r="F263">
        <v>5</v>
      </c>
      <c r="G263">
        <v>44642</v>
      </c>
      <c r="H263" s="2">
        <v>45188</v>
      </c>
      <c r="I263">
        <v>223210</v>
      </c>
      <c r="J263">
        <v>8928.4</v>
      </c>
    </row>
    <row r="264" spans="1:10" x14ac:dyDescent="0.25">
      <c r="A264" s="1">
        <v>363</v>
      </c>
      <c r="B264" s="1" t="s">
        <v>26</v>
      </c>
      <c r="C264" s="1" t="s">
        <v>7</v>
      </c>
      <c r="D264" s="1" t="s">
        <v>18</v>
      </c>
      <c r="E264" s="1" t="s">
        <v>19</v>
      </c>
      <c r="F264">
        <v>6</v>
      </c>
      <c r="G264">
        <v>33284</v>
      </c>
      <c r="H264" s="2">
        <v>45189</v>
      </c>
      <c r="I264">
        <v>199704</v>
      </c>
      <c r="J264">
        <v>6656.8</v>
      </c>
    </row>
    <row r="265" spans="1:10" x14ac:dyDescent="0.25">
      <c r="A265" s="1">
        <v>364</v>
      </c>
      <c r="B265" s="1" t="s">
        <v>22</v>
      </c>
      <c r="C265" s="1" t="s">
        <v>20</v>
      </c>
      <c r="D265" s="1" t="s">
        <v>8</v>
      </c>
      <c r="E265" s="1" t="s">
        <v>16</v>
      </c>
      <c r="F265">
        <v>9</v>
      </c>
      <c r="G265">
        <v>18602</v>
      </c>
      <c r="H265" s="2">
        <v>45190</v>
      </c>
      <c r="I265">
        <v>167418</v>
      </c>
      <c r="J265">
        <v>3720.4</v>
      </c>
    </row>
    <row r="266" spans="1:10" x14ac:dyDescent="0.25">
      <c r="A266" s="1">
        <v>365</v>
      </c>
      <c r="B266" s="1" t="s">
        <v>31</v>
      </c>
      <c r="C266" s="1" t="s">
        <v>20</v>
      </c>
      <c r="D266" s="1" t="s">
        <v>8</v>
      </c>
      <c r="E266" s="1" t="s">
        <v>24</v>
      </c>
      <c r="F266">
        <v>2</v>
      </c>
      <c r="G266">
        <v>38784</v>
      </c>
      <c r="H266" s="2">
        <v>45191</v>
      </c>
      <c r="I266">
        <v>77568</v>
      </c>
      <c r="J266">
        <v>7756.8</v>
      </c>
    </row>
    <row r="267" spans="1:10" x14ac:dyDescent="0.25">
      <c r="A267" s="1">
        <v>366</v>
      </c>
      <c r="B267" s="1" t="s">
        <v>10</v>
      </c>
      <c r="C267" s="1" t="s">
        <v>20</v>
      </c>
      <c r="D267" s="1" t="s">
        <v>18</v>
      </c>
      <c r="E267" s="1" t="s">
        <v>9</v>
      </c>
      <c r="F267">
        <v>5</v>
      </c>
      <c r="G267">
        <v>24265</v>
      </c>
      <c r="H267" s="2">
        <v>45192</v>
      </c>
      <c r="I267">
        <v>121325</v>
      </c>
      <c r="J267">
        <v>4853</v>
      </c>
    </row>
    <row r="268" spans="1:10" x14ac:dyDescent="0.25">
      <c r="A268" s="1">
        <v>367</v>
      </c>
      <c r="B268" s="1" t="s">
        <v>30</v>
      </c>
      <c r="C268" s="1" t="s">
        <v>20</v>
      </c>
      <c r="D268" s="1" t="s">
        <v>18</v>
      </c>
      <c r="E268" s="1" t="s">
        <v>13</v>
      </c>
      <c r="F268">
        <v>3</v>
      </c>
      <c r="G268">
        <v>26931</v>
      </c>
      <c r="H268" s="2">
        <v>45193</v>
      </c>
      <c r="I268">
        <v>80793</v>
      </c>
      <c r="J268">
        <v>5386.2</v>
      </c>
    </row>
    <row r="269" spans="1:10" x14ac:dyDescent="0.25">
      <c r="A269" s="1">
        <v>368</v>
      </c>
      <c r="B269" s="1" t="s">
        <v>10</v>
      </c>
      <c r="C269" s="1" t="s">
        <v>20</v>
      </c>
      <c r="D269" s="1" t="s">
        <v>15</v>
      </c>
      <c r="E269" s="1" t="s">
        <v>13</v>
      </c>
      <c r="F269">
        <v>4</v>
      </c>
      <c r="G269">
        <v>29841</v>
      </c>
      <c r="H269" s="2">
        <v>45194</v>
      </c>
      <c r="I269">
        <v>119364</v>
      </c>
      <c r="J269">
        <v>5968.2</v>
      </c>
    </row>
    <row r="270" spans="1:10" x14ac:dyDescent="0.25">
      <c r="A270" s="1">
        <v>369</v>
      </c>
      <c r="B270" s="1" t="s">
        <v>30</v>
      </c>
      <c r="C270" s="1" t="s">
        <v>23</v>
      </c>
      <c r="D270" s="1" t="s">
        <v>8</v>
      </c>
      <c r="E270" s="1" t="s">
        <v>25</v>
      </c>
      <c r="F270">
        <v>6</v>
      </c>
      <c r="G270">
        <v>30192</v>
      </c>
      <c r="H270" s="2">
        <v>45195</v>
      </c>
      <c r="I270">
        <v>181152</v>
      </c>
      <c r="J270">
        <v>6038.4</v>
      </c>
    </row>
    <row r="271" spans="1:10" x14ac:dyDescent="0.25">
      <c r="A271" s="1">
        <v>370</v>
      </c>
      <c r="B271" s="1" t="s">
        <v>17</v>
      </c>
      <c r="C271" s="1" t="s">
        <v>7</v>
      </c>
      <c r="D271" s="1" t="s">
        <v>12</v>
      </c>
      <c r="E271" s="1" t="s">
        <v>13</v>
      </c>
      <c r="F271">
        <v>8</v>
      </c>
      <c r="G271">
        <v>47542</v>
      </c>
      <c r="H271" s="2">
        <v>45196</v>
      </c>
      <c r="I271">
        <v>380336</v>
      </c>
      <c r="J271">
        <v>9508.4</v>
      </c>
    </row>
    <row r="272" spans="1:10" x14ac:dyDescent="0.25">
      <c r="A272" s="1">
        <v>371</v>
      </c>
      <c r="B272" s="1" t="s">
        <v>10</v>
      </c>
      <c r="C272" s="1" t="s">
        <v>23</v>
      </c>
      <c r="D272" s="1" t="s">
        <v>15</v>
      </c>
      <c r="E272" s="1" t="s">
        <v>16</v>
      </c>
      <c r="F272">
        <v>1</v>
      </c>
      <c r="G272">
        <v>43520</v>
      </c>
      <c r="H272" s="2">
        <v>45197</v>
      </c>
      <c r="I272">
        <v>43520</v>
      </c>
      <c r="J272">
        <v>8704</v>
      </c>
    </row>
    <row r="273" spans="1:10" x14ac:dyDescent="0.25">
      <c r="A273" s="1">
        <v>372</v>
      </c>
      <c r="B273" s="1" t="s">
        <v>14</v>
      </c>
      <c r="C273" s="1" t="s">
        <v>11</v>
      </c>
      <c r="D273" s="1" t="s">
        <v>18</v>
      </c>
      <c r="E273" s="1" t="s">
        <v>24</v>
      </c>
      <c r="F273">
        <v>8</v>
      </c>
      <c r="G273">
        <v>16585</v>
      </c>
      <c r="H273" s="2">
        <v>45198</v>
      </c>
      <c r="I273">
        <v>132680</v>
      </c>
      <c r="J273">
        <v>3317</v>
      </c>
    </row>
    <row r="274" spans="1:10" x14ac:dyDescent="0.25">
      <c r="A274" s="1">
        <v>373</v>
      </c>
      <c r="B274" s="1" t="s">
        <v>14</v>
      </c>
      <c r="C274" s="1" t="s">
        <v>20</v>
      </c>
      <c r="D274" s="1" t="s">
        <v>18</v>
      </c>
      <c r="E274" s="1" t="s">
        <v>24</v>
      </c>
      <c r="F274">
        <v>7</v>
      </c>
      <c r="G274">
        <v>26559</v>
      </c>
      <c r="H274" s="2">
        <v>45199</v>
      </c>
      <c r="I274">
        <v>185913</v>
      </c>
      <c r="J274">
        <v>5311.8</v>
      </c>
    </row>
    <row r="275" spans="1:10" x14ac:dyDescent="0.25">
      <c r="A275" s="1">
        <v>374</v>
      </c>
      <c r="B275" s="1" t="s">
        <v>6</v>
      </c>
      <c r="C275" s="1" t="s">
        <v>7</v>
      </c>
      <c r="D275" s="1" t="s">
        <v>8</v>
      </c>
      <c r="E275" s="1" t="s">
        <v>27</v>
      </c>
      <c r="F275">
        <v>1</v>
      </c>
      <c r="G275">
        <v>41059</v>
      </c>
      <c r="H275" s="2">
        <v>45200</v>
      </c>
      <c r="I275">
        <v>41059</v>
      </c>
      <c r="J275">
        <v>8211.7999999999993</v>
      </c>
    </row>
    <row r="276" spans="1:10" x14ac:dyDescent="0.25">
      <c r="A276" s="1">
        <v>375</v>
      </c>
      <c r="B276" s="1" t="s">
        <v>22</v>
      </c>
      <c r="C276" s="1" t="s">
        <v>20</v>
      </c>
      <c r="D276" s="1" t="s">
        <v>18</v>
      </c>
      <c r="E276" s="1" t="s">
        <v>24</v>
      </c>
      <c r="F276">
        <v>2</v>
      </c>
      <c r="G276">
        <v>34742</v>
      </c>
      <c r="H276" s="2">
        <v>45201</v>
      </c>
      <c r="I276">
        <v>69484</v>
      </c>
      <c r="J276">
        <v>6948.4</v>
      </c>
    </row>
    <row r="277" spans="1:10" x14ac:dyDescent="0.25">
      <c r="A277" s="1">
        <v>376</v>
      </c>
      <c r="B277" s="1" t="s">
        <v>30</v>
      </c>
      <c r="C277" s="1" t="s">
        <v>7</v>
      </c>
      <c r="D277" s="1" t="s">
        <v>12</v>
      </c>
      <c r="E277" s="1" t="s">
        <v>19</v>
      </c>
      <c r="F277">
        <v>3</v>
      </c>
      <c r="G277">
        <v>5133</v>
      </c>
      <c r="H277" s="2">
        <v>45202</v>
      </c>
      <c r="I277">
        <v>15399</v>
      </c>
      <c r="J277">
        <v>1026.5999999999999</v>
      </c>
    </row>
    <row r="278" spans="1:10" x14ac:dyDescent="0.25">
      <c r="A278" s="1">
        <v>377</v>
      </c>
      <c r="B278" s="1" t="s">
        <v>30</v>
      </c>
      <c r="C278" s="1" t="s">
        <v>23</v>
      </c>
      <c r="D278" s="1" t="s">
        <v>8</v>
      </c>
      <c r="E278" s="1" t="s">
        <v>24</v>
      </c>
      <c r="F278">
        <v>1</v>
      </c>
      <c r="G278">
        <v>15663</v>
      </c>
      <c r="H278" s="2">
        <v>45203</v>
      </c>
      <c r="I278">
        <v>15663</v>
      </c>
      <c r="J278">
        <v>3132.6</v>
      </c>
    </row>
    <row r="279" spans="1:10" x14ac:dyDescent="0.25">
      <c r="A279" s="1">
        <v>378</v>
      </c>
      <c r="B279" s="1" t="s">
        <v>22</v>
      </c>
      <c r="C279" s="1" t="s">
        <v>7</v>
      </c>
      <c r="D279" s="1" t="s">
        <v>18</v>
      </c>
      <c r="E279" s="1" t="s">
        <v>25</v>
      </c>
      <c r="F279">
        <v>9</v>
      </c>
      <c r="G279">
        <v>22754</v>
      </c>
      <c r="H279" s="2">
        <v>45204</v>
      </c>
      <c r="I279">
        <v>204786</v>
      </c>
      <c r="J279">
        <v>4550.8</v>
      </c>
    </row>
    <row r="280" spans="1:10" x14ac:dyDescent="0.25">
      <c r="A280" s="1">
        <v>379</v>
      </c>
      <c r="B280" s="1" t="s">
        <v>26</v>
      </c>
      <c r="C280" s="1" t="s">
        <v>11</v>
      </c>
      <c r="D280" s="1" t="s">
        <v>8</v>
      </c>
      <c r="E280" s="1" t="s">
        <v>24</v>
      </c>
      <c r="F280">
        <v>8</v>
      </c>
      <c r="G280">
        <v>4972</v>
      </c>
      <c r="H280" s="2">
        <v>45205</v>
      </c>
      <c r="I280">
        <v>39776</v>
      </c>
      <c r="J280">
        <v>994.4</v>
      </c>
    </row>
    <row r="281" spans="1:10" x14ac:dyDescent="0.25">
      <c r="A281" s="1">
        <v>380</v>
      </c>
      <c r="B281" s="1" t="s">
        <v>6</v>
      </c>
      <c r="C281" s="1" t="s">
        <v>11</v>
      </c>
      <c r="D281" s="1" t="s">
        <v>18</v>
      </c>
      <c r="E281" s="1" t="s">
        <v>27</v>
      </c>
      <c r="F281">
        <v>2</v>
      </c>
      <c r="G281">
        <v>6295</v>
      </c>
      <c r="H281" s="2">
        <v>45206</v>
      </c>
      <c r="I281">
        <v>12590</v>
      </c>
      <c r="J281">
        <v>1259</v>
      </c>
    </row>
    <row r="282" spans="1:10" x14ac:dyDescent="0.25">
      <c r="A282" s="1">
        <v>381</v>
      </c>
      <c r="B282" s="1" t="s">
        <v>26</v>
      </c>
      <c r="C282" s="1" t="s">
        <v>7</v>
      </c>
      <c r="D282" s="1" t="s">
        <v>18</v>
      </c>
      <c r="E282" s="1" t="s">
        <v>9</v>
      </c>
      <c r="F282">
        <v>9</v>
      </c>
      <c r="G282">
        <v>47681</v>
      </c>
      <c r="H282" s="2">
        <v>45207</v>
      </c>
      <c r="I282">
        <v>429129</v>
      </c>
      <c r="J282">
        <v>9536.2000000000007</v>
      </c>
    </row>
    <row r="283" spans="1:10" x14ac:dyDescent="0.25">
      <c r="A283" s="1">
        <v>382</v>
      </c>
      <c r="B283" s="1" t="s">
        <v>26</v>
      </c>
      <c r="C283" s="1" t="s">
        <v>7</v>
      </c>
      <c r="D283" s="1" t="s">
        <v>18</v>
      </c>
      <c r="E283" s="1" t="s">
        <v>16</v>
      </c>
      <c r="F283">
        <v>7</v>
      </c>
      <c r="G283">
        <v>42873</v>
      </c>
      <c r="H283" s="2">
        <v>45208</v>
      </c>
      <c r="I283">
        <v>300111</v>
      </c>
      <c r="J283">
        <v>8574.6</v>
      </c>
    </row>
    <row r="284" spans="1:10" x14ac:dyDescent="0.25">
      <c r="A284" s="1">
        <v>383</v>
      </c>
      <c r="B284" s="1" t="s">
        <v>26</v>
      </c>
      <c r="C284" s="1" t="s">
        <v>7</v>
      </c>
      <c r="D284" s="1" t="s">
        <v>12</v>
      </c>
      <c r="E284" s="1" t="s">
        <v>25</v>
      </c>
      <c r="F284">
        <v>9</v>
      </c>
      <c r="G284">
        <v>30125</v>
      </c>
      <c r="H284" s="2">
        <v>45209</v>
      </c>
      <c r="I284">
        <v>271125</v>
      </c>
      <c r="J284">
        <v>6025</v>
      </c>
    </row>
    <row r="285" spans="1:10" x14ac:dyDescent="0.25">
      <c r="A285" s="1">
        <v>384</v>
      </c>
      <c r="B285" s="1" t="s">
        <v>22</v>
      </c>
      <c r="C285" s="1" t="s">
        <v>7</v>
      </c>
      <c r="D285" s="1" t="s">
        <v>12</v>
      </c>
      <c r="E285" s="1" t="s">
        <v>19</v>
      </c>
      <c r="F285">
        <v>6</v>
      </c>
      <c r="G285">
        <v>41996</v>
      </c>
      <c r="H285" s="2">
        <v>45210</v>
      </c>
      <c r="I285">
        <v>251976</v>
      </c>
      <c r="J285">
        <v>8399.2000000000007</v>
      </c>
    </row>
    <row r="286" spans="1:10" x14ac:dyDescent="0.25">
      <c r="A286" s="1">
        <v>385</v>
      </c>
      <c r="B286" s="1" t="s">
        <v>26</v>
      </c>
      <c r="C286" s="1" t="s">
        <v>11</v>
      </c>
      <c r="D286" s="1" t="s">
        <v>8</v>
      </c>
      <c r="E286" s="1" t="s">
        <v>9</v>
      </c>
      <c r="F286">
        <v>6</v>
      </c>
      <c r="G286">
        <v>10903</v>
      </c>
      <c r="H286" s="2">
        <v>45211</v>
      </c>
      <c r="I286">
        <v>65418</v>
      </c>
      <c r="J286">
        <v>2180.6</v>
      </c>
    </row>
    <row r="287" spans="1:10" x14ac:dyDescent="0.25">
      <c r="A287" s="1">
        <v>386</v>
      </c>
      <c r="B287" s="1" t="s">
        <v>14</v>
      </c>
      <c r="C287" s="1" t="s">
        <v>20</v>
      </c>
      <c r="D287" s="1" t="s">
        <v>18</v>
      </c>
      <c r="E287" s="1" t="s">
        <v>25</v>
      </c>
      <c r="F287">
        <v>4</v>
      </c>
      <c r="G287">
        <v>4020</v>
      </c>
      <c r="H287" s="2">
        <v>45212</v>
      </c>
      <c r="I287">
        <v>16080</v>
      </c>
      <c r="J287">
        <v>804</v>
      </c>
    </row>
    <row r="288" spans="1:10" x14ac:dyDescent="0.25">
      <c r="A288" s="1">
        <v>387</v>
      </c>
      <c r="B288" s="1" t="s">
        <v>28</v>
      </c>
      <c r="C288" s="1" t="s">
        <v>7</v>
      </c>
      <c r="D288" s="1" t="s">
        <v>18</v>
      </c>
      <c r="E288" s="1" t="s">
        <v>29</v>
      </c>
      <c r="F288">
        <v>2</v>
      </c>
      <c r="G288">
        <v>42755</v>
      </c>
      <c r="H288" s="2">
        <v>45213</v>
      </c>
      <c r="I288">
        <v>85510</v>
      </c>
      <c r="J288">
        <v>8551</v>
      </c>
    </row>
    <row r="289" spans="1:10" x14ac:dyDescent="0.25">
      <c r="A289" s="1">
        <v>388</v>
      </c>
      <c r="B289" s="1" t="s">
        <v>17</v>
      </c>
      <c r="C289" s="1" t="s">
        <v>7</v>
      </c>
      <c r="D289" s="1" t="s">
        <v>12</v>
      </c>
      <c r="E289" s="1" t="s">
        <v>13</v>
      </c>
      <c r="F289">
        <v>7</v>
      </c>
      <c r="G289">
        <v>21420</v>
      </c>
      <c r="H289" s="2">
        <v>45214</v>
      </c>
      <c r="I289">
        <v>149940</v>
      </c>
      <c r="J289">
        <v>4284</v>
      </c>
    </row>
    <row r="290" spans="1:10" x14ac:dyDescent="0.25">
      <c r="A290" s="1">
        <v>389</v>
      </c>
      <c r="B290" s="1" t="s">
        <v>30</v>
      </c>
      <c r="C290" s="1" t="s">
        <v>11</v>
      </c>
      <c r="D290" s="1" t="s">
        <v>18</v>
      </c>
      <c r="E290" s="1" t="s">
        <v>29</v>
      </c>
      <c r="F290">
        <v>5</v>
      </c>
      <c r="G290">
        <v>22452</v>
      </c>
      <c r="H290" s="2">
        <v>45215</v>
      </c>
      <c r="I290">
        <v>112260</v>
      </c>
      <c r="J290">
        <v>4490.3999999999996</v>
      </c>
    </row>
    <row r="291" spans="1:10" x14ac:dyDescent="0.25">
      <c r="A291" s="1">
        <v>390</v>
      </c>
      <c r="B291" s="1" t="s">
        <v>30</v>
      </c>
      <c r="C291" s="1" t="s">
        <v>11</v>
      </c>
      <c r="D291" s="1" t="s">
        <v>12</v>
      </c>
      <c r="E291" s="1" t="s">
        <v>24</v>
      </c>
      <c r="F291">
        <v>6</v>
      </c>
      <c r="G291">
        <v>46648</v>
      </c>
      <c r="H291" s="2">
        <v>45216</v>
      </c>
      <c r="I291">
        <v>279888</v>
      </c>
      <c r="J291">
        <v>9329.6</v>
      </c>
    </row>
    <row r="292" spans="1:10" x14ac:dyDescent="0.25">
      <c r="A292" s="1">
        <v>391</v>
      </c>
      <c r="B292" s="1" t="s">
        <v>17</v>
      </c>
      <c r="C292" s="1" t="s">
        <v>23</v>
      </c>
      <c r="D292" s="1" t="s">
        <v>18</v>
      </c>
      <c r="E292" s="1" t="s">
        <v>9</v>
      </c>
      <c r="F292">
        <v>2</v>
      </c>
      <c r="G292">
        <v>39001</v>
      </c>
      <c r="H292" s="2">
        <v>45217</v>
      </c>
      <c r="I292">
        <v>78002</v>
      </c>
      <c r="J292">
        <v>7800.2</v>
      </c>
    </row>
    <row r="293" spans="1:10" x14ac:dyDescent="0.25">
      <c r="A293" s="1">
        <v>392</v>
      </c>
      <c r="B293" s="1" t="s">
        <v>22</v>
      </c>
      <c r="C293" s="1" t="s">
        <v>7</v>
      </c>
      <c r="D293" s="1" t="s">
        <v>8</v>
      </c>
      <c r="E293" s="1" t="s">
        <v>24</v>
      </c>
      <c r="F293">
        <v>5</v>
      </c>
      <c r="G293">
        <v>10516</v>
      </c>
      <c r="H293" s="2">
        <v>45218</v>
      </c>
      <c r="I293">
        <v>52580</v>
      </c>
      <c r="J293">
        <v>2103.1999999999998</v>
      </c>
    </row>
    <row r="294" spans="1:10" x14ac:dyDescent="0.25">
      <c r="A294" s="1">
        <v>393</v>
      </c>
      <c r="B294" s="1" t="s">
        <v>10</v>
      </c>
      <c r="C294" s="1" t="s">
        <v>23</v>
      </c>
      <c r="D294" s="1" t="s">
        <v>18</v>
      </c>
      <c r="E294" s="1" t="s">
        <v>13</v>
      </c>
      <c r="F294">
        <v>4</v>
      </c>
      <c r="G294">
        <v>48327</v>
      </c>
      <c r="H294" s="2">
        <v>45219</v>
      </c>
      <c r="I294">
        <v>193308</v>
      </c>
      <c r="J294">
        <v>9665.4</v>
      </c>
    </row>
    <row r="295" spans="1:10" x14ac:dyDescent="0.25">
      <c r="A295" s="1">
        <v>394</v>
      </c>
      <c r="B295" s="1" t="s">
        <v>22</v>
      </c>
      <c r="C295" s="1" t="s">
        <v>11</v>
      </c>
      <c r="D295" s="1" t="s">
        <v>18</v>
      </c>
      <c r="E295" s="1" t="s">
        <v>25</v>
      </c>
      <c r="F295">
        <v>9</v>
      </c>
      <c r="G295">
        <v>3396</v>
      </c>
      <c r="H295" s="2">
        <v>45220</v>
      </c>
      <c r="I295">
        <v>30564</v>
      </c>
      <c r="J295">
        <v>679.2</v>
      </c>
    </row>
    <row r="296" spans="1:10" x14ac:dyDescent="0.25">
      <c r="A296" s="1">
        <v>395</v>
      </c>
      <c r="B296" s="1" t="s">
        <v>30</v>
      </c>
      <c r="C296" s="1" t="s">
        <v>11</v>
      </c>
      <c r="D296" s="1" t="s">
        <v>15</v>
      </c>
      <c r="E296" s="1" t="s">
        <v>13</v>
      </c>
      <c r="F296">
        <v>6</v>
      </c>
      <c r="G296">
        <v>19546</v>
      </c>
      <c r="H296" s="2">
        <v>45221</v>
      </c>
      <c r="I296">
        <v>117276</v>
      </c>
      <c r="J296">
        <v>3909.2</v>
      </c>
    </row>
    <row r="297" spans="1:10" x14ac:dyDescent="0.25">
      <c r="A297" s="1">
        <v>396</v>
      </c>
      <c r="B297" s="1" t="s">
        <v>30</v>
      </c>
      <c r="C297" s="1" t="s">
        <v>20</v>
      </c>
      <c r="D297" s="1" t="s">
        <v>12</v>
      </c>
      <c r="E297" s="1" t="s">
        <v>27</v>
      </c>
      <c r="F297">
        <v>2</v>
      </c>
      <c r="G297">
        <v>20129</v>
      </c>
      <c r="H297" s="2">
        <v>45222</v>
      </c>
      <c r="I297">
        <v>40258</v>
      </c>
      <c r="J297">
        <v>4025.8</v>
      </c>
    </row>
    <row r="298" spans="1:10" x14ac:dyDescent="0.25">
      <c r="A298" s="1">
        <v>397</v>
      </c>
      <c r="B298" s="1" t="s">
        <v>17</v>
      </c>
      <c r="C298" s="1" t="s">
        <v>7</v>
      </c>
      <c r="D298" s="1" t="s">
        <v>18</v>
      </c>
      <c r="E298" s="1" t="s">
        <v>13</v>
      </c>
      <c r="F298">
        <v>1</v>
      </c>
      <c r="G298">
        <v>2591</v>
      </c>
      <c r="H298" s="2">
        <v>45223</v>
      </c>
      <c r="I298">
        <v>2591</v>
      </c>
      <c r="J298">
        <v>518.20000000000005</v>
      </c>
    </row>
    <row r="299" spans="1:10" x14ac:dyDescent="0.25">
      <c r="A299" s="1">
        <v>398</v>
      </c>
      <c r="B299" s="1" t="s">
        <v>26</v>
      </c>
      <c r="C299" s="1" t="s">
        <v>23</v>
      </c>
      <c r="D299" s="1" t="s">
        <v>18</v>
      </c>
      <c r="E299" s="1" t="s">
        <v>27</v>
      </c>
      <c r="F299">
        <v>5</v>
      </c>
      <c r="G299">
        <v>12303</v>
      </c>
      <c r="H299" s="2">
        <v>45224</v>
      </c>
      <c r="I299">
        <v>61515</v>
      </c>
      <c r="J299">
        <v>2460.6</v>
      </c>
    </row>
    <row r="300" spans="1:10" x14ac:dyDescent="0.25">
      <c r="A300" s="1">
        <v>399</v>
      </c>
      <c r="B300" s="1" t="s">
        <v>22</v>
      </c>
      <c r="C300" s="1" t="s">
        <v>11</v>
      </c>
      <c r="D300" s="1" t="s">
        <v>15</v>
      </c>
      <c r="E300" s="1" t="s">
        <v>13</v>
      </c>
      <c r="F300">
        <v>9</v>
      </c>
      <c r="G300">
        <v>31561</v>
      </c>
      <c r="H300" s="2">
        <v>45225</v>
      </c>
      <c r="I300">
        <v>284049</v>
      </c>
      <c r="J300">
        <v>6312.2</v>
      </c>
    </row>
    <row r="301" spans="1:10" x14ac:dyDescent="0.25">
      <c r="A301" s="1">
        <v>400</v>
      </c>
      <c r="B301" s="1" t="s">
        <v>31</v>
      </c>
      <c r="C301" s="1" t="s">
        <v>11</v>
      </c>
      <c r="D301" s="1" t="s">
        <v>15</v>
      </c>
      <c r="E301" s="1" t="s">
        <v>16</v>
      </c>
      <c r="F301">
        <v>6</v>
      </c>
      <c r="G301">
        <v>7183</v>
      </c>
      <c r="H301" s="2">
        <v>45226</v>
      </c>
      <c r="I301">
        <v>43098</v>
      </c>
      <c r="J301">
        <v>1436.6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893-BEBA-4654-80BA-68F804965E47}">
  <dimension ref="A1:J300"/>
  <sheetViews>
    <sheetView workbookViewId="0"/>
  </sheetViews>
  <sheetFormatPr defaultRowHeight="15" x14ac:dyDescent="0.25"/>
  <sheetData>
    <row r="1" spans="1:10" x14ac:dyDescent="0.25">
      <c r="A1">
        <v>101</v>
      </c>
      <c r="B1" t="s">
        <v>6</v>
      </c>
      <c r="C1" t="s">
        <v>7</v>
      </c>
      <c r="D1" t="s">
        <v>8</v>
      </c>
      <c r="E1" t="s">
        <v>9</v>
      </c>
      <c r="F1">
        <v>1</v>
      </c>
      <c r="G1">
        <v>13875</v>
      </c>
      <c r="H1" s="2">
        <v>44927</v>
      </c>
      <c r="I1">
        <v>13875</v>
      </c>
      <c r="J1">
        <v>2775</v>
      </c>
    </row>
    <row r="2" spans="1:10" x14ac:dyDescent="0.25">
      <c r="A2">
        <v>102</v>
      </c>
      <c r="B2" t="s">
        <v>10</v>
      </c>
      <c r="C2" t="s">
        <v>11</v>
      </c>
      <c r="D2" t="s">
        <v>12</v>
      </c>
      <c r="E2" t="s">
        <v>13</v>
      </c>
      <c r="F2">
        <v>6</v>
      </c>
      <c r="G2">
        <v>2622</v>
      </c>
      <c r="H2" s="2">
        <v>44928</v>
      </c>
      <c r="I2">
        <v>15732</v>
      </c>
      <c r="J2">
        <v>524.4</v>
      </c>
    </row>
    <row r="3" spans="1:10" x14ac:dyDescent="0.25">
      <c r="A3">
        <v>103</v>
      </c>
      <c r="B3" t="s">
        <v>14</v>
      </c>
      <c r="C3" t="s">
        <v>7</v>
      </c>
      <c r="D3" t="s">
        <v>15</v>
      </c>
      <c r="E3" t="s">
        <v>16</v>
      </c>
      <c r="F3">
        <v>5</v>
      </c>
      <c r="G3">
        <v>49756</v>
      </c>
      <c r="H3" s="2">
        <v>44929</v>
      </c>
      <c r="I3">
        <v>248780</v>
      </c>
      <c r="J3">
        <v>9951.2000000000007</v>
      </c>
    </row>
    <row r="4" spans="1:10" x14ac:dyDescent="0.25">
      <c r="A4">
        <v>104</v>
      </c>
      <c r="B4" t="s">
        <v>17</v>
      </c>
      <c r="C4" t="s">
        <v>7</v>
      </c>
      <c r="D4" t="s">
        <v>18</v>
      </c>
      <c r="E4" t="s">
        <v>19</v>
      </c>
      <c r="F4">
        <v>4</v>
      </c>
      <c r="G4">
        <v>41809</v>
      </c>
      <c r="H4" s="2">
        <v>44930</v>
      </c>
      <c r="I4">
        <v>167236</v>
      </c>
      <c r="J4">
        <v>8361.7999999999993</v>
      </c>
    </row>
    <row r="5" spans="1:10" x14ac:dyDescent="0.25">
      <c r="A5">
        <v>105</v>
      </c>
      <c r="B5" t="s">
        <v>6</v>
      </c>
      <c r="C5" t="s">
        <v>20</v>
      </c>
      <c r="D5" t="s">
        <v>15</v>
      </c>
      <c r="E5" t="s">
        <v>16</v>
      </c>
      <c r="F5">
        <v>3</v>
      </c>
      <c r="G5">
        <v>17725</v>
      </c>
      <c r="H5" s="2">
        <v>44931</v>
      </c>
      <c r="I5">
        <v>53175</v>
      </c>
      <c r="J5">
        <v>3545</v>
      </c>
    </row>
    <row r="6" spans="1:10" x14ac:dyDescent="0.25">
      <c r="A6">
        <v>106</v>
      </c>
      <c r="B6" t="s">
        <v>21</v>
      </c>
      <c r="C6" t="s">
        <v>7</v>
      </c>
      <c r="D6" t="s">
        <v>18</v>
      </c>
      <c r="E6" t="s">
        <v>9</v>
      </c>
      <c r="F6">
        <v>1</v>
      </c>
      <c r="G6">
        <v>41760</v>
      </c>
      <c r="H6" s="2">
        <v>44932</v>
      </c>
      <c r="I6">
        <v>41760</v>
      </c>
      <c r="J6">
        <v>8352</v>
      </c>
    </row>
    <row r="7" spans="1:10" x14ac:dyDescent="0.25">
      <c r="A7">
        <v>107</v>
      </c>
      <c r="B7" t="s">
        <v>22</v>
      </c>
      <c r="C7" t="s">
        <v>23</v>
      </c>
      <c r="D7" t="s">
        <v>8</v>
      </c>
      <c r="E7" t="s">
        <v>9</v>
      </c>
      <c r="F7">
        <v>6</v>
      </c>
      <c r="G7">
        <v>16646</v>
      </c>
      <c r="H7" s="2">
        <v>44933</v>
      </c>
      <c r="I7">
        <v>99876</v>
      </c>
      <c r="J7">
        <v>3329.2</v>
      </c>
    </row>
    <row r="8" spans="1:10" x14ac:dyDescent="0.25">
      <c r="A8">
        <v>108</v>
      </c>
      <c r="B8" t="s">
        <v>6</v>
      </c>
      <c r="C8" t="s">
        <v>23</v>
      </c>
      <c r="D8" t="s">
        <v>18</v>
      </c>
      <c r="E8" t="s">
        <v>9</v>
      </c>
      <c r="F8">
        <v>2</v>
      </c>
      <c r="G8">
        <v>18029</v>
      </c>
      <c r="H8" s="2">
        <v>44934</v>
      </c>
      <c r="I8">
        <v>36058</v>
      </c>
      <c r="J8">
        <v>3605.8</v>
      </c>
    </row>
    <row r="9" spans="1:10" x14ac:dyDescent="0.25">
      <c r="A9">
        <v>109</v>
      </c>
      <c r="B9" t="s">
        <v>14</v>
      </c>
      <c r="C9" t="s">
        <v>11</v>
      </c>
      <c r="D9" t="s">
        <v>8</v>
      </c>
      <c r="E9" t="s">
        <v>24</v>
      </c>
      <c r="F9">
        <v>8</v>
      </c>
      <c r="G9">
        <v>30402</v>
      </c>
      <c r="H9" s="2">
        <v>44935</v>
      </c>
      <c r="I9">
        <v>243216</v>
      </c>
      <c r="J9">
        <v>6080.4</v>
      </c>
    </row>
    <row r="10" spans="1:10" x14ac:dyDescent="0.25">
      <c r="A10">
        <v>110</v>
      </c>
      <c r="B10" t="s">
        <v>17</v>
      </c>
      <c r="C10" t="s">
        <v>7</v>
      </c>
      <c r="D10" t="s">
        <v>18</v>
      </c>
      <c r="E10" t="s">
        <v>24</v>
      </c>
      <c r="F10">
        <v>5</v>
      </c>
      <c r="G10">
        <v>5263</v>
      </c>
      <c r="H10" s="2">
        <v>44936</v>
      </c>
      <c r="I10">
        <v>26315</v>
      </c>
      <c r="J10">
        <v>1052.5999999999999</v>
      </c>
    </row>
    <row r="11" spans="1:10" x14ac:dyDescent="0.25">
      <c r="A11">
        <v>111</v>
      </c>
      <c r="B11" t="s">
        <v>10</v>
      </c>
      <c r="C11" t="s">
        <v>11</v>
      </c>
      <c r="D11" t="s">
        <v>8</v>
      </c>
      <c r="E11" t="s">
        <v>25</v>
      </c>
      <c r="F11">
        <v>7</v>
      </c>
      <c r="G11">
        <v>31987</v>
      </c>
      <c r="H11" s="2">
        <v>44937</v>
      </c>
      <c r="I11">
        <v>223909</v>
      </c>
      <c r="J11">
        <v>6397.4</v>
      </c>
    </row>
    <row r="12" spans="1:10" x14ac:dyDescent="0.25">
      <c r="A12">
        <v>112</v>
      </c>
      <c r="B12" t="s">
        <v>14</v>
      </c>
      <c r="C12" t="s">
        <v>23</v>
      </c>
      <c r="D12" t="s">
        <v>18</v>
      </c>
      <c r="E12" t="s">
        <v>25</v>
      </c>
      <c r="F12">
        <v>2</v>
      </c>
      <c r="G12">
        <v>47828</v>
      </c>
      <c r="H12" s="2">
        <v>44938</v>
      </c>
      <c r="I12">
        <v>95656</v>
      </c>
      <c r="J12">
        <v>9565.6</v>
      </c>
    </row>
    <row r="13" spans="1:10" x14ac:dyDescent="0.25">
      <c r="A13">
        <v>113</v>
      </c>
      <c r="B13" t="s">
        <v>14</v>
      </c>
      <c r="C13" t="s">
        <v>7</v>
      </c>
      <c r="D13" t="s">
        <v>12</v>
      </c>
      <c r="E13" t="s">
        <v>9</v>
      </c>
      <c r="F13">
        <v>8</v>
      </c>
      <c r="G13">
        <v>48924</v>
      </c>
      <c r="H13" s="2">
        <v>44939</v>
      </c>
      <c r="I13">
        <v>391392</v>
      </c>
      <c r="J13">
        <v>9784.7999999999993</v>
      </c>
    </row>
    <row r="14" spans="1:10" x14ac:dyDescent="0.25">
      <c r="A14">
        <v>114</v>
      </c>
      <c r="B14" t="s">
        <v>22</v>
      </c>
      <c r="C14" t="s">
        <v>7</v>
      </c>
      <c r="D14" t="s">
        <v>18</v>
      </c>
      <c r="E14" t="s">
        <v>13</v>
      </c>
      <c r="F14">
        <v>2</v>
      </c>
      <c r="G14">
        <v>9646</v>
      </c>
      <c r="H14" s="2">
        <v>44940</v>
      </c>
      <c r="I14">
        <v>19292</v>
      </c>
      <c r="J14">
        <v>1929.2</v>
      </c>
    </row>
    <row r="15" spans="1:10" x14ac:dyDescent="0.25">
      <c r="A15">
        <v>115</v>
      </c>
      <c r="B15" t="s">
        <v>26</v>
      </c>
      <c r="C15" t="s">
        <v>11</v>
      </c>
      <c r="D15" t="s">
        <v>18</v>
      </c>
      <c r="E15" t="s">
        <v>27</v>
      </c>
      <c r="F15">
        <v>4</v>
      </c>
      <c r="G15">
        <v>28529</v>
      </c>
      <c r="H15" s="2">
        <v>44941</v>
      </c>
      <c r="I15">
        <v>114116</v>
      </c>
      <c r="J15">
        <v>5705.8</v>
      </c>
    </row>
    <row r="16" spans="1:10" x14ac:dyDescent="0.25">
      <c r="A16">
        <v>116</v>
      </c>
      <c r="B16" t="s">
        <v>17</v>
      </c>
      <c r="C16" t="s">
        <v>23</v>
      </c>
      <c r="D16" t="s">
        <v>12</v>
      </c>
      <c r="E16" t="s">
        <v>24</v>
      </c>
      <c r="F16">
        <v>1</v>
      </c>
      <c r="G16">
        <v>12664</v>
      </c>
      <c r="H16" s="2">
        <v>44942</v>
      </c>
      <c r="I16">
        <v>12664</v>
      </c>
      <c r="J16">
        <v>2532.8000000000002</v>
      </c>
    </row>
    <row r="17" spans="1:10" x14ac:dyDescent="0.25">
      <c r="A17">
        <v>117</v>
      </c>
      <c r="B17" t="s">
        <v>28</v>
      </c>
      <c r="C17" t="s">
        <v>7</v>
      </c>
      <c r="D17" t="s">
        <v>15</v>
      </c>
      <c r="E17" t="s">
        <v>13</v>
      </c>
      <c r="F17">
        <v>5</v>
      </c>
      <c r="G17">
        <v>36737</v>
      </c>
      <c r="H17" s="2">
        <v>44943</v>
      </c>
      <c r="I17">
        <v>183685</v>
      </c>
      <c r="J17">
        <v>7347.4</v>
      </c>
    </row>
    <row r="18" spans="1:10" x14ac:dyDescent="0.25">
      <c r="A18">
        <v>118</v>
      </c>
      <c r="B18" t="s">
        <v>14</v>
      </c>
      <c r="C18" t="s">
        <v>11</v>
      </c>
      <c r="D18" t="s">
        <v>15</v>
      </c>
      <c r="E18" t="s">
        <v>29</v>
      </c>
      <c r="F18">
        <v>9</v>
      </c>
      <c r="G18">
        <v>36796</v>
      </c>
      <c r="H18" s="2">
        <v>44944</v>
      </c>
      <c r="I18">
        <v>331164</v>
      </c>
      <c r="J18">
        <v>7359.2</v>
      </c>
    </row>
    <row r="19" spans="1:10" x14ac:dyDescent="0.25">
      <c r="A19">
        <v>119</v>
      </c>
      <c r="B19" t="s">
        <v>26</v>
      </c>
      <c r="C19" t="s">
        <v>23</v>
      </c>
      <c r="D19" t="s">
        <v>18</v>
      </c>
      <c r="E19" t="s">
        <v>24</v>
      </c>
      <c r="F19">
        <v>1</v>
      </c>
      <c r="G19">
        <v>25027</v>
      </c>
      <c r="H19" s="2">
        <v>44945</v>
      </c>
      <c r="I19">
        <v>25027</v>
      </c>
      <c r="J19">
        <v>5005.3999999999996</v>
      </c>
    </row>
    <row r="20" spans="1:10" x14ac:dyDescent="0.25">
      <c r="A20">
        <v>120</v>
      </c>
      <c r="B20" t="s">
        <v>28</v>
      </c>
      <c r="C20" t="s">
        <v>11</v>
      </c>
      <c r="D20" t="s">
        <v>12</v>
      </c>
      <c r="E20" t="s">
        <v>24</v>
      </c>
      <c r="F20">
        <v>9</v>
      </c>
      <c r="G20">
        <v>30373</v>
      </c>
      <c r="H20" s="2">
        <v>44946</v>
      </c>
      <c r="I20">
        <v>273357</v>
      </c>
      <c r="J20">
        <v>6074.6</v>
      </c>
    </row>
    <row r="21" spans="1:10" x14ac:dyDescent="0.25">
      <c r="A21">
        <v>121</v>
      </c>
      <c r="B21" t="s">
        <v>17</v>
      </c>
      <c r="C21" t="s">
        <v>20</v>
      </c>
      <c r="D21" t="s">
        <v>18</v>
      </c>
      <c r="E21" t="s">
        <v>25</v>
      </c>
      <c r="F21">
        <v>8</v>
      </c>
      <c r="G21">
        <v>37397</v>
      </c>
      <c r="H21" s="2">
        <v>44947</v>
      </c>
      <c r="I21">
        <v>299176</v>
      </c>
      <c r="J21">
        <v>7479.4</v>
      </c>
    </row>
    <row r="22" spans="1:10" x14ac:dyDescent="0.25">
      <c r="A22">
        <v>122</v>
      </c>
      <c r="B22" t="s">
        <v>30</v>
      </c>
      <c r="C22" t="s">
        <v>7</v>
      </c>
      <c r="D22" t="s">
        <v>8</v>
      </c>
      <c r="E22" t="s">
        <v>27</v>
      </c>
      <c r="F22">
        <v>6</v>
      </c>
      <c r="G22">
        <v>21609</v>
      </c>
      <c r="H22" s="2">
        <v>44948</v>
      </c>
      <c r="I22">
        <v>129654</v>
      </c>
      <c r="J22">
        <v>4321.8</v>
      </c>
    </row>
    <row r="23" spans="1:10" x14ac:dyDescent="0.25">
      <c r="A23">
        <v>123</v>
      </c>
      <c r="B23" t="s">
        <v>21</v>
      </c>
      <c r="C23" t="s">
        <v>20</v>
      </c>
      <c r="D23" t="s">
        <v>8</v>
      </c>
      <c r="E23" t="s">
        <v>27</v>
      </c>
      <c r="F23">
        <v>7</v>
      </c>
      <c r="G23">
        <v>36835</v>
      </c>
      <c r="H23" s="2">
        <v>44949</v>
      </c>
      <c r="I23">
        <v>257845</v>
      </c>
      <c r="J23">
        <v>7367</v>
      </c>
    </row>
    <row r="24" spans="1:10" x14ac:dyDescent="0.25">
      <c r="A24">
        <v>124</v>
      </c>
      <c r="B24" t="s">
        <v>26</v>
      </c>
      <c r="C24" t="s">
        <v>23</v>
      </c>
      <c r="D24" t="s">
        <v>18</v>
      </c>
      <c r="E24" t="s">
        <v>19</v>
      </c>
      <c r="F24">
        <v>3</v>
      </c>
      <c r="G24">
        <v>39709</v>
      </c>
      <c r="H24" s="2">
        <v>44950</v>
      </c>
      <c r="I24">
        <v>119127</v>
      </c>
      <c r="J24">
        <v>7941.8</v>
      </c>
    </row>
    <row r="25" spans="1:10" x14ac:dyDescent="0.25">
      <c r="A25">
        <v>125</v>
      </c>
      <c r="B25" t="s">
        <v>31</v>
      </c>
      <c r="C25" t="s">
        <v>20</v>
      </c>
      <c r="D25" t="s">
        <v>15</v>
      </c>
      <c r="E25" t="s">
        <v>16</v>
      </c>
      <c r="F25">
        <v>1</v>
      </c>
      <c r="G25">
        <v>20250</v>
      </c>
      <c r="H25" s="2">
        <v>44951</v>
      </c>
      <c r="I25">
        <v>20250</v>
      </c>
      <c r="J25">
        <v>4050</v>
      </c>
    </row>
    <row r="26" spans="1:10" x14ac:dyDescent="0.25">
      <c r="A26">
        <v>126</v>
      </c>
      <c r="B26" t="s">
        <v>30</v>
      </c>
      <c r="C26" t="s">
        <v>20</v>
      </c>
      <c r="D26" t="s">
        <v>15</v>
      </c>
      <c r="E26" t="s">
        <v>16</v>
      </c>
      <c r="F26">
        <v>5</v>
      </c>
      <c r="G26">
        <v>22172</v>
      </c>
      <c r="H26" s="2">
        <v>44952</v>
      </c>
      <c r="I26">
        <v>110860</v>
      </c>
      <c r="J26">
        <v>4434.3999999999996</v>
      </c>
    </row>
    <row r="27" spans="1:10" x14ac:dyDescent="0.25">
      <c r="A27">
        <v>127</v>
      </c>
      <c r="B27" t="s">
        <v>21</v>
      </c>
      <c r="C27" t="s">
        <v>23</v>
      </c>
      <c r="D27" t="s">
        <v>18</v>
      </c>
      <c r="E27" t="s">
        <v>16</v>
      </c>
      <c r="F27">
        <v>2</v>
      </c>
      <c r="G27">
        <v>12555</v>
      </c>
      <c r="H27" s="2">
        <v>44953</v>
      </c>
      <c r="I27">
        <v>25110</v>
      </c>
      <c r="J27">
        <v>2511</v>
      </c>
    </row>
    <row r="28" spans="1:10" x14ac:dyDescent="0.25">
      <c r="A28">
        <v>128</v>
      </c>
      <c r="B28" t="s">
        <v>22</v>
      </c>
      <c r="C28" t="s">
        <v>11</v>
      </c>
      <c r="D28" t="s">
        <v>18</v>
      </c>
      <c r="E28" t="s">
        <v>16</v>
      </c>
      <c r="F28">
        <v>5</v>
      </c>
      <c r="G28">
        <v>22874</v>
      </c>
      <c r="H28" s="2">
        <v>44954</v>
      </c>
      <c r="I28">
        <v>114370</v>
      </c>
      <c r="J28">
        <v>4574.8</v>
      </c>
    </row>
    <row r="29" spans="1:10" x14ac:dyDescent="0.25">
      <c r="A29">
        <v>129</v>
      </c>
      <c r="B29" t="s">
        <v>6</v>
      </c>
      <c r="C29" t="s">
        <v>20</v>
      </c>
      <c r="D29" t="s">
        <v>8</v>
      </c>
      <c r="E29" t="s">
        <v>29</v>
      </c>
      <c r="F29">
        <v>8</v>
      </c>
      <c r="G29">
        <v>14081</v>
      </c>
      <c r="H29" s="2">
        <v>44955</v>
      </c>
      <c r="I29">
        <v>112648</v>
      </c>
      <c r="J29">
        <v>2816.2</v>
      </c>
    </row>
    <row r="30" spans="1:10" x14ac:dyDescent="0.25">
      <c r="A30">
        <v>130</v>
      </c>
      <c r="B30" t="s">
        <v>10</v>
      </c>
      <c r="C30" t="s">
        <v>11</v>
      </c>
      <c r="D30" t="s">
        <v>15</v>
      </c>
      <c r="E30" t="s">
        <v>29</v>
      </c>
      <c r="F30">
        <v>9</v>
      </c>
      <c r="G30">
        <v>25063</v>
      </c>
      <c r="H30" s="2">
        <v>44956</v>
      </c>
      <c r="I30">
        <v>225567</v>
      </c>
      <c r="J30">
        <v>5012.6000000000004</v>
      </c>
    </row>
    <row r="31" spans="1:10" x14ac:dyDescent="0.25">
      <c r="A31">
        <v>131</v>
      </c>
      <c r="B31" t="s">
        <v>31</v>
      </c>
      <c r="C31" t="s">
        <v>20</v>
      </c>
      <c r="D31" t="s">
        <v>18</v>
      </c>
      <c r="E31" t="s">
        <v>24</v>
      </c>
      <c r="F31">
        <v>2</v>
      </c>
      <c r="G31">
        <v>7819</v>
      </c>
      <c r="H31" s="2">
        <v>44957</v>
      </c>
      <c r="I31">
        <v>15638</v>
      </c>
      <c r="J31">
        <v>1563.8</v>
      </c>
    </row>
    <row r="32" spans="1:10" x14ac:dyDescent="0.25">
      <c r="A32">
        <v>132</v>
      </c>
      <c r="B32" t="s">
        <v>22</v>
      </c>
      <c r="C32" t="s">
        <v>11</v>
      </c>
      <c r="D32" t="s">
        <v>8</v>
      </c>
      <c r="E32" t="s">
        <v>9</v>
      </c>
      <c r="F32">
        <v>3</v>
      </c>
      <c r="G32">
        <v>26712</v>
      </c>
      <c r="H32" s="2">
        <v>44958</v>
      </c>
      <c r="I32">
        <v>80136</v>
      </c>
      <c r="J32">
        <v>5342.4</v>
      </c>
    </row>
    <row r="33" spans="1:10" x14ac:dyDescent="0.25">
      <c r="A33">
        <v>133</v>
      </c>
      <c r="B33" t="s">
        <v>17</v>
      </c>
      <c r="C33" t="s">
        <v>23</v>
      </c>
      <c r="D33" t="s">
        <v>15</v>
      </c>
      <c r="E33" t="s">
        <v>25</v>
      </c>
      <c r="F33">
        <v>3</v>
      </c>
      <c r="G33">
        <v>25762</v>
      </c>
      <c r="H33" s="2">
        <v>44959</v>
      </c>
      <c r="I33">
        <v>77286</v>
      </c>
      <c r="J33">
        <v>5152.3999999999996</v>
      </c>
    </row>
    <row r="34" spans="1:10" x14ac:dyDescent="0.25">
      <c r="A34">
        <v>134</v>
      </c>
      <c r="B34" t="s">
        <v>22</v>
      </c>
      <c r="C34" t="s">
        <v>20</v>
      </c>
      <c r="D34" t="s">
        <v>12</v>
      </c>
      <c r="E34" t="s">
        <v>25</v>
      </c>
      <c r="F34">
        <v>1</v>
      </c>
      <c r="G34">
        <v>12046</v>
      </c>
      <c r="H34" s="2">
        <v>44960</v>
      </c>
      <c r="I34">
        <v>12046</v>
      </c>
      <c r="J34">
        <v>2409.1999999999998</v>
      </c>
    </row>
    <row r="35" spans="1:10" x14ac:dyDescent="0.25">
      <c r="A35">
        <v>135</v>
      </c>
      <c r="B35" t="s">
        <v>6</v>
      </c>
      <c r="C35" t="s">
        <v>23</v>
      </c>
      <c r="D35" t="s">
        <v>8</v>
      </c>
      <c r="E35" t="s">
        <v>16</v>
      </c>
      <c r="F35">
        <v>8</v>
      </c>
      <c r="G35">
        <v>32463</v>
      </c>
      <c r="H35" s="2">
        <v>44961</v>
      </c>
      <c r="I35">
        <v>259704</v>
      </c>
      <c r="J35">
        <v>6492.6</v>
      </c>
    </row>
    <row r="36" spans="1:10" x14ac:dyDescent="0.25">
      <c r="A36">
        <v>136</v>
      </c>
      <c r="B36" t="s">
        <v>17</v>
      </c>
      <c r="C36" t="s">
        <v>20</v>
      </c>
      <c r="D36" t="s">
        <v>15</v>
      </c>
      <c r="E36" t="s">
        <v>24</v>
      </c>
      <c r="F36">
        <v>6</v>
      </c>
      <c r="G36">
        <v>29769</v>
      </c>
      <c r="H36" s="2">
        <v>44962</v>
      </c>
      <c r="I36">
        <v>178614</v>
      </c>
      <c r="J36">
        <v>5953.8</v>
      </c>
    </row>
    <row r="37" spans="1:10" x14ac:dyDescent="0.25">
      <c r="A37">
        <v>137</v>
      </c>
      <c r="B37" t="s">
        <v>31</v>
      </c>
      <c r="C37" t="s">
        <v>23</v>
      </c>
      <c r="D37" t="s">
        <v>15</v>
      </c>
      <c r="E37" t="s">
        <v>19</v>
      </c>
      <c r="F37">
        <v>8</v>
      </c>
      <c r="G37">
        <v>24150</v>
      </c>
      <c r="H37" s="2">
        <v>44963</v>
      </c>
      <c r="I37">
        <v>193200</v>
      </c>
      <c r="J37">
        <v>4830</v>
      </c>
    </row>
    <row r="38" spans="1:10" x14ac:dyDescent="0.25">
      <c r="A38">
        <v>138</v>
      </c>
      <c r="B38" t="s">
        <v>6</v>
      </c>
      <c r="C38" t="s">
        <v>23</v>
      </c>
      <c r="D38" t="s">
        <v>8</v>
      </c>
      <c r="E38" t="s">
        <v>13</v>
      </c>
      <c r="F38">
        <v>9</v>
      </c>
      <c r="G38">
        <v>3711</v>
      </c>
      <c r="H38" s="2">
        <v>44964</v>
      </c>
      <c r="I38">
        <v>33399</v>
      </c>
      <c r="J38">
        <v>742.2</v>
      </c>
    </row>
    <row r="39" spans="1:10" x14ac:dyDescent="0.25">
      <c r="A39">
        <v>139</v>
      </c>
      <c r="B39" t="s">
        <v>28</v>
      </c>
      <c r="C39" t="s">
        <v>20</v>
      </c>
      <c r="D39" t="s">
        <v>12</v>
      </c>
      <c r="E39" t="s">
        <v>9</v>
      </c>
      <c r="F39">
        <v>5</v>
      </c>
      <c r="G39">
        <v>5853</v>
      </c>
      <c r="H39" s="2">
        <v>44965</v>
      </c>
      <c r="I39">
        <v>29265</v>
      </c>
      <c r="J39">
        <v>1170.5999999999999</v>
      </c>
    </row>
    <row r="40" spans="1:10" x14ac:dyDescent="0.25">
      <c r="A40">
        <v>140</v>
      </c>
      <c r="B40" t="s">
        <v>10</v>
      </c>
      <c r="C40" t="s">
        <v>20</v>
      </c>
      <c r="D40" t="s">
        <v>8</v>
      </c>
      <c r="E40" t="s">
        <v>24</v>
      </c>
      <c r="F40">
        <v>3</v>
      </c>
      <c r="G40">
        <v>30077</v>
      </c>
      <c r="H40" s="2">
        <v>44966</v>
      </c>
      <c r="I40">
        <v>90231</v>
      </c>
      <c r="J40">
        <v>6015.4</v>
      </c>
    </row>
    <row r="41" spans="1:10" x14ac:dyDescent="0.25">
      <c r="A41">
        <v>141</v>
      </c>
      <c r="B41" t="s">
        <v>31</v>
      </c>
      <c r="C41" t="s">
        <v>20</v>
      </c>
      <c r="D41" t="s">
        <v>15</v>
      </c>
      <c r="E41" t="s">
        <v>9</v>
      </c>
      <c r="F41">
        <v>5</v>
      </c>
      <c r="G41">
        <v>24863</v>
      </c>
      <c r="H41" s="2">
        <v>44967</v>
      </c>
      <c r="I41">
        <v>124315</v>
      </c>
      <c r="J41">
        <v>4972.6000000000004</v>
      </c>
    </row>
    <row r="42" spans="1:10" x14ac:dyDescent="0.25">
      <c r="A42">
        <v>142</v>
      </c>
      <c r="B42" t="s">
        <v>28</v>
      </c>
      <c r="C42" t="s">
        <v>7</v>
      </c>
      <c r="D42" t="s">
        <v>18</v>
      </c>
      <c r="E42" t="s">
        <v>9</v>
      </c>
      <c r="F42">
        <v>5</v>
      </c>
      <c r="G42">
        <v>22792</v>
      </c>
      <c r="H42" s="2">
        <v>44968</v>
      </c>
      <c r="I42">
        <v>113960</v>
      </c>
      <c r="J42">
        <v>4558.3999999999996</v>
      </c>
    </row>
    <row r="43" spans="1:10" x14ac:dyDescent="0.25">
      <c r="A43">
        <v>143</v>
      </c>
      <c r="B43" t="s">
        <v>21</v>
      </c>
      <c r="C43" t="s">
        <v>11</v>
      </c>
      <c r="D43" t="s">
        <v>18</v>
      </c>
      <c r="E43" t="s">
        <v>9</v>
      </c>
      <c r="F43">
        <v>5</v>
      </c>
      <c r="G43">
        <v>41483</v>
      </c>
      <c r="H43" s="2">
        <v>44969</v>
      </c>
      <c r="I43">
        <v>207415</v>
      </c>
      <c r="J43">
        <v>8296.6</v>
      </c>
    </row>
    <row r="44" spans="1:10" x14ac:dyDescent="0.25">
      <c r="A44">
        <v>144</v>
      </c>
      <c r="B44" t="s">
        <v>31</v>
      </c>
      <c r="C44" t="s">
        <v>7</v>
      </c>
      <c r="D44" t="s">
        <v>8</v>
      </c>
      <c r="E44" t="s">
        <v>24</v>
      </c>
      <c r="F44">
        <v>3</v>
      </c>
      <c r="G44">
        <v>9942</v>
      </c>
      <c r="H44" s="2">
        <v>44970</v>
      </c>
      <c r="I44">
        <v>29826</v>
      </c>
      <c r="J44">
        <v>1988.4</v>
      </c>
    </row>
    <row r="45" spans="1:10" x14ac:dyDescent="0.25">
      <c r="A45">
        <v>145</v>
      </c>
      <c r="B45" t="s">
        <v>21</v>
      </c>
      <c r="C45" t="s">
        <v>7</v>
      </c>
      <c r="D45" t="s">
        <v>15</v>
      </c>
      <c r="E45" t="s">
        <v>16</v>
      </c>
      <c r="F45">
        <v>4</v>
      </c>
      <c r="G45">
        <v>49275</v>
      </c>
      <c r="H45" s="2">
        <v>44971</v>
      </c>
      <c r="I45">
        <v>197100</v>
      </c>
      <c r="J45">
        <v>9855</v>
      </c>
    </row>
    <row r="46" spans="1:10" x14ac:dyDescent="0.25">
      <c r="A46">
        <v>146</v>
      </c>
      <c r="B46" t="s">
        <v>17</v>
      </c>
      <c r="C46" t="s">
        <v>23</v>
      </c>
      <c r="D46" t="s">
        <v>18</v>
      </c>
      <c r="E46" t="s">
        <v>25</v>
      </c>
      <c r="F46">
        <v>9</v>
      </c>
      <c r="G46">
        <v>49594</v>
      </c>
      <c r="H46" s="2">
        <v>44972</v>
      </c>
      <c r="I46">
        <v>446346</v>
      </c>
      <c r="J46">
        <v>9918.7999999999993</v>
      </c>
    </row>
    <row r="47" spans="1:10" x14ac:dyDescent="0.25">
      <c r="A47">
        <v>147</v>
      </c>
      <c r="B47" t="s">
        <v>28</v>
      </c>
      <c r="C47" t="s">
        <v>20</v>
      </c>
      <c r="D47" t="s">
        <v>15</v>
      </c>
      <c r="E47" t="s">
        <v>25</v>
      </c>
      <c r="F47">
        <v>9</v>
      </c>
      <c r="G47">
        <v>2762</v>
      </c>
      <c r="H47" s="2">
        <v>44973</v>
      </c>
      <c r="I47">
        <v>24858</v>
      </c>
      <c r="J47">
        <v>552.4</v>
      </c>
    </row>
    <row r="48" spans="1:10" x14ac:dyDescent="0.25">
      <c r="A48">
        <v>148</v>
      </c>
      <c r="B48" t="s">
        <v>10</v>
      </c>
      <c r="C48" t="s">
        <v>11</v>
      </c>
      <c r="D48" t="s">
        <v>8</v>
      </c>
      <c r="E48" t="s">
        <v>16</v>
      </c>
      <c r="F48">
        <v>2</v>
      </c>
      <c r="G48">
        <v>32987</v>
      </c>
      <c r="H48" s="2">
        <v>44974</v>
      </c>
      <c r="I48">
        <v>65974</v>
      </c>
      <c r="J48">
        <v>6597.4</v>
      </c>
    </row>
    <row r="49" spans="1:10" x14ac:dyDescent="0.25">
      <c r="A49">
        <v>149</v>
      </c>
      <c r="B49" t="s">
        <v>6</v>
      </c>
      <c r="C49" t="s">
        <v>23</v>
      </c>
      <c r="D49" t="s">
        <v>18</v>
      </c>
      <c r="E49" t="s">
        <v>9</v>
      </c>
      <c r="F49">
        <v>8</v>
      </c>
      <c r="G49">
        <v>16850</v>
      </c>
      <c r="H49" s="2">
        <v>44975</v>
      </c>
      <c r="I49">
        <v>134800</v>
      </c>
      <c r="J49">
        <v>3370</v>
      </c>
    </row>
    <row r="50" spans="1:10" x14ac:dyDescent="0.25">
      <c r="A50">
        <v>150</v>
      </c>
      <c r="B50" t="s">
        <v>14</v>
      </c>
      <c r="C50" t="s">
        <v>7</v>
      </c>
      <c r="D50" t="s">
        <v>15</v>
      </c>
      <c r="E50" t="s">
        <v>13</v>
      </c>
      <c r="F50">
        <v>8</v>
      </c>
      <c r="G50">
        <v>13112</v>
      </c>
      <c r="H50" s="2">
        <v>44976</v>
      </c>
      <c r="I50">
        <v>104896</v>
      </c>
      <c r="J50">
        <v>2622.4</v>
      </c>
    </row>
    <row r="51" spans="1:10" x14ac:dyDescent="0.25">
      <c r="A51">
        <v>151</v>
      </c>
      <c r="B51" t="s">
        <v>22</v>
      </c>
      <c r="C51" t="s">
        <v>20</v>
      </c>
      <c r="D51" t="s">
        <v>18</v>
      </c>
      <c r="E51" t="s">
        <v>27</v>
      </c>
      <c r="F51">
        <v>7</v>
      </c>
      <c r="G51">
        <v>25058</v>
      </c>
      <c r="H51" s="2">
        <v>44977</v>
      </c>
      <c r="I51">
        <v>175406</v>
      </c>
      <c r="J51">
        <v>5011.6000000000004</v>
      </c>
    </row>
    <row r="52" spans="1:10" x14ac:dyDescent="0.25">
      <c r="A52">
        <v>152</v>
      </c>
      <c r="B52" t="s">
        <v>30</v>
      </c>
      <c r="C52" t="s">
        <v>23</v>
      </c>
      <c r="D52" t="s">
        <v>8</v>
      </c>
      <c r="E52" t="s">
        <v>24</v>
      </c>
      <c r="F52">
        <v>8</v>
      </c>
      <c r="G52">
        <v>46420</v>
      </c>
      <c r="H52" s="2">
        <v>44978</v>
      </c>
      <c r="I52">
        <v>371360</v>
      </c>
      <c r="J52">
        <v>9284</v>
      </c>
    </row>
    <row r="53" spans="1:10" x14ac:dyDescent="0.25">
      <c r="A53">
        <v>153</v>
      </c>
      <c r="B53" t="s">
        <v>10</v>
      </c>
      <c r="C53" t="s">
        <v>20</v>
      </c>
      <c r="D53" t="s">
        <v>15</v>
      </c>
      <c r="E53" t="s">
        <v>27</v>
      </c>
      <c r="F53">
        <v>3</v>
      </c>
      <c r="G53">
        <v>39890</v>
      </c>
      <c r="H53" s="2">
        <v>44979</v>
      </c>
      <c r="I53">
        <v>119670</v>
      </c>
      <c r="J53">
        <v>7978</v>
      </c>
    </row>
    <row r="54" spans="1:10" x14ac:dyDescent="0.25">
      <c r="A54">
        <v>154</v>
      </c>
      <c r="B54" t="s">
        <v>28</v>
      </c>
      <c r="C54" t="s">
        <v>23</v>
      </c>
      <c r="D54" t="s">
        <v>18</v>
      </c>
      <c r="E54" t="s">
        <v>19</v>
      </c>
      <c r="F54">
        <v>6</v>
      </c>
      <c r="G54">
        <v>1481</v>
      </c>
      <c r="H54" s="2">
        <v>44980</v>
      </c>
      <c r="I54">
        <v>8886</v>
      </c>
      <c r="J54">
        <v>296.2</v>
      </c>
    </row>
    <row r="55" spans="1:10" x14ac:dyDescent="0.25">
      <c r="A55">
        <v>155</v>
      </c>
      <c r="B55" t="s">
        <v>14</v>
      </c>
      <c r="C55" t="s">
        <v>20</v>
      </c>
      <c r="D55" t="s">
        <v>8</v>
      </c>
      <c r="E55" t="s">
        <v>16</v>
      </c>
      <c r="F55">
        <v>1</v>
      </c>
      <c r="G55">
        <v>48304</v>
      </c>
      <c r="H55" s="2">
        <v>44981</v>
      </c>
      <c r="I55">
        <v>48304</v>
      </c>
      <c r="J55">
        <v>9660.7999999999993</v>
      </c>
    </row>
    <row r="56" spans="1:10" x14ac:dyDescent="0.25">
      <c r="A56">
        <v>156</v>
      </c>
      <c r="B56" t="s">
        <v>10</v>
      </c>
      <c r="C56" t="s">
        <v>7</v>
      </c>
      <c r="D56" t="s">
        <v>18</v>
      </c>
      <c r="E56" t="s">
        <v>13</v>
      </c>
      <c r="F56">
        <v>7</v>
      </c>
      <c r="G56">
        <v>33921</v>
      </c>
      <c r="H56" s="2">
        <v>44982</v>
      </c>
      <c r="I56">
        <v>237447</v>
      </c>
      <c r="J56">
        <v>6784.2</v>
      </c>
    </row>
    <row r="57" spans="1:10" x14ac:dyDescent="0.25">
      <c r="A57">
        <v>157</v>
      </c>
      <c r="B57" t="s">
        <v>28</v>
      </c>
      <c r="C57" t="s">
        <v>11</v>
      </c>
      <c r="D57" t="s">
        <v>18</v>
      </c>
      <c r="E57" t="s">
        <v>24</v>
      </c>
      <c r="F57">
        <v>1</v>
      </c>
      <c r="G57">
        <v>41385</v>
      </c>
      <c r="H57" s="2">
        <v>44983</v>
      </c>
      <c r="I57">
        <v>41385</v>
      </c>
      <c r="J57">
        <v>8277</v>
      </c>
    </row>
    <row r="58" spans="1:10" x14ac:dyDescent="0.25">
      <c r="A58">
        <v>158</v>
      </c>
      <c r="B58" t="s">
        <v>26</v>
      </c>
      <c r="C58" t="s">
        <v>7</v>
      </c>
      <c r="D58" t="s">
        <v>12</v>
      </c>
      <c r="E58" t="s">
        <v>16</v>
      </c>
      <c r="F58">
        <v>9</v>
      </c>
      <c r="G58">
        <v>2524</v>
      </c>
      <c r="H58" s="2">
        <v>44984</v>
      </c>
      <c r="I58">
        <v>22716</v>
      </c>
      <c r="J58">
        <v>504.8</v>
      </c>
    </row>
    <row r="59" spans="1:10" x14ac:dyDescent="0.25">
      <c r="A59">
        <v>159</v>
      </c>
      <c r="B59" t="s">
        <v>26</v>
      </c>
      <c r="C59" t="s">
        <v>11</v>
      </c>
      <c r="D59" t="s">
        <v>12</v>
      </c>
      <c r="E59" t="s">
        <v>9</v>
      </c>
      <c r="F59">
        <v>1</v>
      </c>
      <c r="G59">
        <v>35888</v>
      </c>
      <c r="H59" s="2">
        <v>44985</v>
      </c>
      <c r="I59">
        <v>35888</v>
      </c>
      <c r="J59">
        <v>7177.6</v>
      </c>
    </row>
    <row r="60" spans="1:10" x14ac:dyDescent="0.25">
      <c r="A60">
        <v>160</v>
      </c>
      <c r="B60" t="s">
        <v>21</v>
      </c>
      <c r="C60" t="s">
        <v>20</v>
      </c>
      <c r="D60" t="s">
        <v>8</v>
      </c>
      <c r="E60" t="s">
        <v>25</v>
      </c>
      <c r="F60">
        <v>1</v>
      </c>
      <c r="G60">
        <v>16048</v>
      </c>
      <c r="H60" s="2">
        <v>44986</v>
      </c>
      <c r="I60">
        <v>16048</v>
      </c>
      <c r="J60">
        <v>3209.6</v>
      </c>
    </row>
    <row r="61" spans="1:10" x14ac:dyDescent="0.25">
      <c r="A61">
        <v>161</v>
      </c>
      <c r="B61" t="s">
        <v>10</v>
      </c>
      <c r="C61" t="s">
        <v>23</v>
      </c>
      <c r="D61" t="s">
        <v>12</v>
      </c>
      <c r="E61" t="s">
        <v>27</v>
      </c>
      <c r="F61">
        <v>7</v>
      </c>
      <c r="G61">
        <v>36111</v>
      </c>
      <c r="H61" s="2">
        <v>44987</v>
      </c>
      <c r="I61">
        <v>252777</v>
      </c>
      <c r="J61">
        <v>7222.2</v>
      </c>
    </row>
    <row r="62" spans="1:10" x14ac:dyDescent="0.25">
      <c r="A62">
        <v>162</v>
      </c>
      <c r="B62" t="s">
        <v>26</v>
      </c>
      <c r="C62" t="s">
        <v>7</v>
      </c>
      <c r="D62" t="s">
        <v>8</v>
      </c>
      <c r="E62" t="s">
        <v>29</v>
      </c>
      <c r="F62">
        <v>2</v>
      </c>
      <c r="G62">
        <v>38904</v>
      </c>
      <c r="H62" s="2">
        <v>44988</v>
      </c>
      <c r="I62">
        <v>77808</v>
      </c>
      <c r="J62">
        <v>7780.8</v>
      </c>
    </row>
    <row r="63" spans="1:10" x14ac:dyDescent="0.25">
      <c r="A63">
        <v>163</v>
      </c>
      <c r="B63" t="s">
        <v>28</v>
      </c>
      <c r="C63" t="s">
        <v>11</v>
      </c>
      <c r="D63" t="s">
        <v>12</v>
      </c>
      <c r="E63" t="s">
        <v>29</v>
      </c>
      <c r="F63">
        <v>5</v>
      </c>
      <c r="G63">
        <v>35008</v>
      </c>
      <c r="H63" s="2">
        <v>44989</v>
      </c>
      <c r="I63">
        <v>175040</v>
      </c>
      <c r="J63">
        <v>7001.6</v>
      </c>
    </row>
    <row r="64" spans="1:10" x14ac:dyDescent="0.25">
      <c r="A64">
        <v>164</v>
      </c>
      <c r="B64" t="s">
        <v>21</v>
      </c>
      <c r="C64" t="s">
        <v>7</v>
      </c>
      <c r="D64" t="s">
        <v>18</v>
      </c>
      <c r="E64" t="s">
        <v>13</v>
      </c>
      <c r="F64">
        <v>8</v>
      </c>
      <c r="G64">
        <v>1060</v>
      </c>
      <c r="H64" s="2">
        <v>44990</v>
      </c>
      <c r="I64">
        <v>8480</v>
      </c>
      <c r="J64">
        <v>212</v>
      </c>
    </row>
    <row r="65" spans="1:10" x14ac:dyDescent="0.25">
      <c r="A65">
        <v>165</v>
      </c>
      <c r="B65" t="s">
        <v>28</v>
      </c>
      <c r="C65" t="s">
        <v>11</v>
      </c>
      <c r="D65" t="s">
        <v>8</v>
      </c>
      <c r="E65" t="s">
        <v>9</v>
      </c>
      <c r="F65">
        <v>8</v>
      </c>
      <c r="G65">
        <v>10130</v>
      </c>
      <c r="H65" s="2">
        <v>44991</v>
      </c>
      <c r="I65">
        <v>81040</v>
      </c>
      <c r="J65">
        <v>2026</v>
      </c>
    </row>
    <row r="66" spans="1:10" x14ac:dyDescent="0.25">
      <c r="A66">
        <v>166</v>
      </c>
      <c r="B66" t="s">
        <v>21</v>
      </c>
      <c r="C66" t="s">
        <v>7</v>
      </c>
      <c r="D66" t="s">
        <v>8</v>
      </c>
      <c r="E66" t="s">
        <v>19</v>
      </c>
      <c r="F66">
        <v>3</v>
      </c>
      <c r="G66">
        <v>19023</v>
      </c>
      <c r="H66" s="2">
        <v>44992</v>
      </c>
      <c r="I66">
        <v>57069</v>
      </c>
      <c r="J66">
        <v>3804.6</v>
      </c>
    </row>
    <row r="67" spans="1:10" x14ac:dyDescent="0.25">
      <c r="A67">
        <v>167</v>
      </c>
      <c r="B67" t="s">
        <v>10</v>
      </c>
      <c r="C67" t="s">
        <v>11</v>
      </c>
      <c r="D67" t="s">
        <v>18</v>
      </c>
      <c r="E67" t="s">
        <v>27</v>
      </c>
      <c r="F67">
        <v>7</v>
      </c>
      <c r="G67">
        <v>46080</v>
      </c>
      <c r="H67" s="2">
        <v>44993</v>
      </c>
      <c r="I67">
        <v>322560</v>
      </c>
      <c r="J67">
        <v>9216</v>
      </c>
    </row>
    <row r="68" spans="1:10" x14ac:dyDescent="0.25">
      <c r="A68">
        <v>168</v>
      </c>
      <c r="B68" t="s">
        <v>14</v>
      </c>
      <c r="C68" t="s">
        <v>11</v>
      </c>
      <c r="D68" t="s">
        <v>8</v>
      </c>
      <c r="E68" t="s">
        <v>9</v>
      </c>
      <c r="F68">
        <v>3</v>
      </c>
      <c r="G68">
        <v>14350</v>
      </c>
      <c r="H68" s="2">
        <v>44994</v>
      </c>
      <c r="I68">
        <v>43050</v>
      </c>
      <c r="J68">
        <v>2870</v>
      </c>
    </row>
    <row r="69" spans="1:10" x14ac:dyDescent="0.25">
      <c r="A69">
        <v>169</v>
      </c>
      <c r="B69" t="s">
        <v>6</v>
      </c>
      <c r="C69" t="s">
        <v>20</v>
      </c>
      <c r="D69" t="s">
        <v>8</v>
      </c>
      <c r="E69" t="s">
        <v>27</v>
      </c>
      <c r="F69">
        <v>6</v>
      </c>
      <c r="G69">
        <v>25354</v>
      </c>
      <c r="H69" s="2">
        <v>44995</v>
      </c>
      <c r="I69">
        <v>152124</v>
      </c>
      <c r="J69">
        <v>5070.8</v>
      </c>
    </row>
    <row r="70" spans="1:10" x14ac:dyDescent="0.25">
      <c r="A70">
        <v>170</v>
      </c>
      <c r="B70" t="s">
        <v>31</v>
      </c>
      <c r="C70" t="s">
        <v>11</v>
      </c>
      <c r="D70" t="s">
        <v>12</v>
      </c>
      <c r="E70" t="s">
        <v>13</v>
      </c>
      <c r="F70">
        <v>6</v>
      </c>
      <c r="G70">
        <v>46186</v>
      </c>
      <c r="H70" s="2">
        <v>44996</v>
      </c>
      <c r="I70">
        <v>277116</v>
      </c>
      <c r="J70">
        <v>9237.2000000000007</v>
      </c>
    </row>
    <row r="71" spans="1:10" x14ac:dyDescent="0.25">
      <c r="A71">
        <v>171</v>
      </c>
      <c r="B71" t="s">
        <v>14</v>
      </c>
      <c r="C71" t="s">
        <v>20</v>
      </c>
      <c r="D71" t="s">
        <v>8</v>
      </c>
      <c r="E71" t="s">
        <v>13</v>
      </c>
      <c r="F71">
        <v>3</v>
      </c>
      <c r="G71">
        <v>29145</v>
      </c>
      <c r="H71" s="2">
        <v>44997</v>
      </c>
      <c r="I71">
        <v>87435</v>
      </c>
      <c r="J71">
        <v>5829</v>
      </c>
    </row>
    <row r="72" spans="1:10" x14ac:dyDescent="0.25">
      <c r="A72">
        <v>172</v>
      </c>
      <c r="B72" t="s">
        <v>17</v>
      </c>
      <c r="C72" t="s">
        <v>11</v>
      </c>
      <c r="D72" t="s">
        <v>15</v>
      </c>
      <c r="E72" t="s">
        <v>19</v>
      </c>
      <c r="F72">
        <v>7</v>
      </c>
      <c r="G72">
        <v>35020</v>
      </c>
      <c r="H72" s="2">
        <v>44998</v>
      </c>
      <c r="I72">
        <v>245140</v>
      </c>
      <c r="J72">
        <v>7004</v>
      </c>
    </row>
    <row r="73" spans="1:10" x14ac:dyDescent="0.25">
      <c r="A73">
        <v>173</v>
      </c>
      <c r="B73" t="s">
        <v>28</v>
      </c>
      <c r="C73" t="s">
        <v>23</v>
      </c>
      <c r="D73" t="s">
        <v>18</v>
      </c>
      <c r="E73" t="s">
        <v>29</v>
      </c>
      <c r="F73">
        <v>3</v>
      </c>
      <c r="G73">
        <v>21587</v>
      </c>
      <c r="H73" s="2">
        <v>44999</v>
      </c>
      <c r="I73">
        <v>64761</v>
      </c>
      <c r="J73">
        <v>4317.3999999999996</v>
      </c>
    </row>
    <row r="74" spans="1:10" x14ac:dyDescent="0.25">
      <c r="A74">
        <v>174</v>
      </c>
      <c r="B74" t="s">
        <v>17</v>
      </c>
      <c r="C74" t="s">
        <v>23</v>
      </c>
      <c r="D74" t="s">
        <v>12</v>
      </c>
      <c r="E74" t="s">
        <v>9</v>
      </c>
      <c r="F74">
        <v>8</v>
      </c>
      <c r="G74">
        <v>42131</v>
      </c>
      <c r="H74" s="2">
        <v>45000</v>
      </c>
      <c r="I74">
        <v>337048</v>
      </c>
      <c r="J74">
        <v>8426.2000000000007</v>
      </c>
    </row>
    <row r="75" spans="1:10" x14ac:dyDescent="0.25">
      <c r="A75">
        <v>175</v>
      </c>
      <c r="B75" t="s">
        <v>14</v>
      </c>
      <c r="C75" t="s">
        <v>23</v>
      </c>
      <c r="D75" t="s">
        <v>12</v>
      </c>
      <c r="E75" t="s">
        <v>24</v>
      </c>
      <c r="F75">
        <v>4</v>
      </c>
      <c r="G75">
        <v>10650</v>
      </c>
      <c r="H75" s="2">
        <v>45001</v>
      </c>
      <c r="I75">
        <v>42600</v>
      </c>
      <c r="J75">
        <v>2130</v>
      </c>
    </row>
    <row r="76" spans="1:10" x14ac:dyDescent="0.25">
      <c r="A76">
        <v>176</v>
      </c>
      <c r="B76" t="s">
        <v>21</v>
      </c>
      <c r="C76" t="s">
        <v>11</v>
      </c>
      <c r="D76" t="s">
        <v>15</v>
      </c>
      <c r="E76" t="s">
        <v>29</v>
      </c>
      <c r="F76">
        <v>1</v>
      </c>
      <c r="G76">
        <v>20933</v>
      </c>
      <c r="H76" s="2">
        <v>45002</v>
      </c>
      <c r="I76">
        <v>20933</v>
      </c>
      <c r="J76">
        <v>4186.6000000000004</v>
      </c>
    </row>
    <row r="77" spans="1:10" x14ac:dyDescent="0.25">
      <c r="A77">
        <v>177</v>
      </c>
      <c r="B77" t="s">
        <v>31</v>
      </c>
      <c r="C77" t="s">
        <v>20</v>
      </c>
      <c r="D77" t="s">
        <v>18</v>
      </c>
      <c r="E77" t="s">
        <v>9</v>
      </c>
      <c r="F77">
        <v>4</v>
      </c>
      <c r="G77">
        <v>21581</v>
      </c>
      <c r="H77" s="2">
        <v>45003</v>
      </c>
      <c r="I77">
        <v>86324</v>
      </c>
      <c r="J77">
        <v>4316.2</v>
      </c>
    </row>
    <row r="78" spans="1:10" x14ac:dyDescent="0.25">
      <c r="A78">
        <v>178</v>
      </c>
      <c r="B78" t="s">
        <v>31</v>
      </c>
      <c r="C78" t="s">
        <v>20</v>
      </c>
      <c r="D78" t="s">
        <v>18</v>
      </c>
      <c r="E78" t="s">
        <v>29</v>
      </c>
      <c r="F78">
        <v>7</v>
      </c>
      <c r="G78">
        <v>24393</v>
      </c>
      <c r="H78" s="2">
        <v>45004</v>
      </c>
      <c r="I78">
        <v>170751</v>
      </c>
      <c r="J78">
        <v>4878.6000000000004</v>
      </c>
    </row>
    <row r="79" spans="1:10" x14ac:dyDescent="0.25">
      <c r="A79">
        <v>179</v>
      </c>
      <c r="B79" t="s">
        <v>30</v>
      </c>
      <c r="C79" t="s">
        <v>11</v>
      </c>
      <c r="D79" t="s">
        <v>12</v>
      </c>
      <c r="E79" t="s">
        <v>24</v>
      </c>
      <c r="F79">
        <v>4</v>
      </c>
      <c r="G79">
        <v>24051</v>
      </c>
      <c r="H79" s="2">
        <v>45005</v>
      </c>
      <c r="I79">
        <v>96204</v>
      </c>
      <c r="J79">
        <v>4810.2</v>
      </c>
    </row>
    <row r="80" spans="1:10" x14ac:dyDescent="0.25">
      <c r="A80">
        <v>180</v>
      </c>
      <c r="B80" t="s">
        <v>31</v>
      </c>
      <c r="C80" t="s">
        <v>23</v>
      </c>
      <c r="D80" t="s">
        <v>8</v>
      </c>
      <c r="E80" t="s">
        <v>25</v>
      </c>
      <c r="F80">
        <v>6</v>
      </c>
      <c r="G80">
        <v>27212</v>
      </c>
      <c r="H80" s="2">
        <v>45006</v>
      </c>
      <c r="I80">
        <v>163272</v>
      </c>
      <c r="J80">
        <v>5442.4</v>
      </c>
    </row>
    <row r="81" spans="1:10" x14ac:dyDescent="0.25">
      <c r="A81">
        <v>181</v>
      </c>
      <c r="B81" t="s">
        <v>6</v>
      </c>
      <c r="C81" t="s">
        <v>23</v>
      </c>
      <c r="D81" t="s">
        <v>12</v>
      </c>
      <c r="E81" t="s">
        <v>25</v>
      </c>
      <c r="F81">
        <v>9</v>
      </c>
      <c r="G81">
        <v>5090</v>
      </c>
      <c r="H81" s="2">
        <v>45007</v>
      </c>
      <c r="I81">
        <v>45810</v>
      </c>
      <c r="J81">
        <v>1018</v>
      </c>
    </row>
    <row r="82" spans="1:10" x14ac:dyDescent="0.25">
      <c r="A82">
        <v>182</v>
      </c>
      <c r="B82" t="s">
        <v>31</v>
      </c>
      <c r="C82" t="s">
        <v>20</v>
      </c>
      <c r="D82" t="s">
        <v>18</v>
      </c>
      <c r="E82" t="s">
        <v>19</v>
      </c>
      <c r="F82">
        <v>1</v>
      </c>
      <c r="G82">
        <v>7960</v>
      </c>
      <c r="H82" s="2">
        <v>45008</v>
      </c>
      <c r="I82">
        <v>7960</v>
      </c>
      <c r="J82">
        <v>1592</v>
      </c>
    </row>
    <row r="83" spans="1:10" x14ac:dyDescent="0.25">
      <c r="A83">
        <v>183</v>
      </c>
      <c r="B83" t="s">
        <v>14</v>
      </c>
      <c r="C83" t="s">
        <v>23</v>
      </c>
      <c r="D83" t="s">
        <v>15</v>
      </c>
      <c r="E83" t="s">
        <v>25</v>
      </c>
      <c r="F83">
        <v>5</v>
      </c>
      <c r="G83">
        <v>36772</v>
      </c>
      <c r="H83" s="2">
        <v>45009</v>
      </c>
      <c r="I83">
        <v>183860</v>
      </c>
      <c r="J83">
        <v>7354.4</v>
      </c>
    </row>
    <row r="84" spans="1:10" x14ac:dyDescent="0.25">
      <c r="A84">
        <v>184</v>
      </c>
      <c r="B84" t="s">
        <v>30</v>
      </c>
      <c r="C84" t="s">
        <v>7</v>
      </c>
      <c r="D84" t="s">
        <v>12</v>
      </c>
      <c r="E84" t="s">
        <v>25</v>
      </c>
      <c r="F84">
        <v>7</v>
      </c>
      <c r="G84">
        <v>22520</v>
      </c>
      <c r="H84" s="2">
        <v>45010</v>
      </c>
      <c r="I84">
        <v>157640</v>
      </c>
      <c r="J84">
        <v>4504</v>
      </c>
    </row>
    <row r="85" spans="1:10" x14ac:dyDescent="0.25">
      <c r="A85">
        <v>185</v>
      </c>
      <c r="B85" t="s">
        <v>14</v>
      </c>
      <c r="C85" t="s">
        <v>20</v>
      </c>
      <c r="D85" t="s">
        <v>18</v>
      </c>
      <c r="E85" t="s">
        <v>16</v>
      </c>
      <c r="F85">
        <v>1</v>
      </c>
      <c r="G85">
        <v>37408</v>
      </c>
      <c r="H85" s="2">
        <v>45011</v>
      </c>
      <c r="I85">
        <v>37408</v>
      </c>
      <c r="J85">
        <v>7481.6</v>
      </c>
    </row>
    <row r="86" spans="1:10" x14ac:dyDescent="0.25">
      <c r="A86">
        <v>186</v>
      </c>
      <c r="B86" t="s">
        <v>14</v>
      </c>
      <c r="C86" t="s">
        <v>23</v>
      </c>
      <c r="D86" t="s">
        <v>12</v>
      </c>
      <c r="E86" t="s">
        <v>27</v>
      </c>
      <c r="F86">
        <v>4</v>
      </c>
      <c r="G86">
        <v>29470</v>
      </c>
      <c r="H86" s="2">
        <v>45012</v>
      </c>
      <c r="I86">
        <v>117880</v>
      </c>
      <c r="J86">
        <v>5894</v>
      </c>
    </row>
    <row r="87" spans="1:10" x14ac:dyDescent="0.25">
      <c r="A87">
        <v>187</v>
      </c>
      <c r="B87" t="s">
        <v>22</v>
      </c>
      <c r="C87" t="s">
        <v>20</v>
      </c>
      <c r="D87" t="s">
        <v>8</v>
      </c>
      <c r="E87" t="s">
        <v>16</v>
      </c>
      <c r="F87">
        <v>6</v>
      </c>
      <c r="G87">
        <v>21491</v>
      </c>
      <c r="H87" s="2">
        <v>45013</v>
      </c>
      <c r="I87">
        <v>128946</v>
      </c>
      <c r="J87">
        <v>4298.2</v>
      </c>
    </row>
    <row r="88" spans="1:10" x14ac:dyDescent="0.25">
      <c r="A88">
        <v>188</v>
      </c>
      <c r="B88" t="s">
        <v>30</v>
      </c>
      <c r="C88" t="s">
        <v>7</v>
      </c>
      <c r="D88" t="s">
        <v>12</v>
      </c>
      <c r="E88" t="s">
        <v>16</v>
      </c>
      <c r="F88">
        <v>2</v>
      </c>
      <c r="G88">
        <v>2341</v>
      </c>
      <c r="H88" s="2">
        <v>45014</v>
      </c>
      <c r="I88">
        <v>4682</v>
      </c>
      <c r="J88">
        <v>468.2</v>
      </c>
    </row>
    <row r="89" spans="1:10" x14ac:dyDescent="0.25">
      <c r="A89">
        <v>189</v>
      </c>
      <c r="B89" t="s">
        <v>14</v>
      </c>
      <c r="C89" t="s">
        <v>20</v>
      </c>
      <c r="D89" t="s">
        <v>12</v>
      </c>
      <c r="E89" t="s">
        <v>19</v>
      </c>
      <c r="F89">
        <v>5</v>
      </c>
      <c r="G89">
        <v>45623</v>
      </c>
      <c r="H89" s="2">
        <v>45015</v>
      </c>
      <c r="I89">
        <v>228115</v>
      </c>
      <c r="J89">
        <v>9124.6</v>
      </c>
    </row>
    <row r="90" spans="1:10" x14ac:dyDescent="0.25">
      <c r="A90">
        <v>190</v>
      </c>
      <c r="B90" t="s">
        <v>22</v>
      </c>
      <c r="C90" t="s">
        <v>20</v>
      </c>
      <c r="D90" t="s">
        <v>18</v>
      </c>
      <c r="E90" t="s">
        <v>16</v>
      </c>
      <c r="F90">
        <v>1</v>
      </c>
      <c r="G90">
        <v>25791</v>
      </c>
      <c r="H90" s="2">
        <v>45016</v>
      </c>
      <c r="I90">
        <v>25791</v>
      </c>
      <c r="J90">
        <v>5158.2</v>
      </c>
    </row>
    <row r="91" spans="1:10" x14ac:dyDescent="0.25">
      <c r="A91">
        <v>191</v>
      </c>
      <c r="B91" t="s">
        <v>22</v>
      </c>
      <c r="C91" t="s">
        <v>20</v>
      </c>
      <c r="D91" t="s">
        <v>18</v>
      </c>
      <c r="E91" t="s">
        <v>25</v>
      </c>
      <c r="F91">
        <v>6</v>
      </c>
      <c r="G91">
        <v>1338</v>
      </c>
      <c r="H91" s="2">
        <v>45017</v>
      </c>
      <c r="I91">
        <v>8028</v>
      </c>
      <c r="J91">
        <v>267.60000000000002</v>
      </c>
    </row>
    <row r="92" spans="1:10" x14ac:dyDescent="0.25">
      <c r="A92">
        <v>192</v>
      </c>
      <c r="B92" t="s">
        <v>30</v>
      </c>
      <c r="C92" t="s">
        <v>20</v>
      </c>
      <c r="D92" t="s">
        <v>18</v>
      </c>
      <c r="E92" t="s">
        <v>24</v>
      </c>
      <c r="F92">
        <v>6</v>
      </c>
      <c r="G92">
        <v>6895</v>
      </c>
      <c r="H92" s="2">
        <v>45018</v>
      </c>
      <c r="I92">
        <v>41370</v>
      </c>
      <c r="J92">
        <v>1379</v>
      </c>
    </row>
    <row r="93" spans="1:10" x14ac:dyDescent="0.25">
      <c r="A93">
        <v>193</v>
      </c>
      <c r="B93" t="s">
        <v>17</v>
      </c>
      <c r="C93" t="s">
        <v>7</v>
      </c>
      <c r="D93" t="s">
        <v>12</v>
      </c>
      <c r="E93" t="s">
        <v>19</v>
      </c>
      <c r="F93">
        <v>4</v>
      </c>
      <c r="G93">
        <v>13254</v>
      </c>
      <c r="H93" s="2">
        <v>45019</v>
      </c>
      <c r="I93">
        <v>53016</v>
      </c>
      <c r="J93">
        <v>2650.8</v>
      </c>
    </row>
    <row r="94" spans="1:10" x14ac:dyDescent="0.25">
      <c r="A94">
        <v>194</v>
      </c>
      <c r="B94" t="s">
        <v>21</v>
      </c>
      <c r="C94" t="s">
        <v>11</v>
      </c>
      <c r="D94" t="s">
        <v>8</v>
      </c>
      <c r="E94" t="s">
        <v>19</v>
      </c>
      <c r="F94">
        <v>8</v>
      </c>
      <c r="G94">
        <v>12344</v>
      </c>
      <c r="H94" s="2">
        <v>45020</v>
      </c>
      <c r="I94">
        <v>98752</v>
      </c>
      <c r="J94">
        <v>2468.8000000000002</v>
      </c>
    </row>
    <row r="95" spans="1:10" x14ac:dyDescent="0.25">
      <c r="A95">
        <v>195</v>
      </c>
      <c r="B95" t="s">
        <v>6</v>
      </c>
      <c r="C95" t="s">
        <v>20</v>
      </c>
      <c r="D95" t="s">
        <v>15</v>
      </c>
      <c r="E95" t="s">
        <v>13</v>
      </c>
      <c r="F95">
        <v>4</v>
      </c>
      <c r="G95">
        <v>2750</v>
      </c>
      <c r="H95" s="2">
        <v>45021</v>
      </c>
      <c r="I95">
        <v>11000</v>
      </c>
      <c r="J95">
        <v>550</v>
      </c>
    </row>
    <row r="96" spans="1:10" x14ac:dyDescent="0.25">
      <c r="A96">
        <v>196</v>
      </c>
      <c r="B96" t="s">
        <v>21</v>
      </c>
      <c r="C96" t="s">
        <v>20</v>
      </c>
      <c r="D96" t="s">
        <v>15</v>
      </c>
      <c r="E96" t="s">
        <v>19</v>
      </c>
      <c r="F96">
        <v>8</v>
      </c>
      <c r="G96">
        <v>3421</v>
      </c>
      <c r="H96" s="2">
        <v>45022</v>
      </c>
      <c r="I96">
        <v>27368</v>
      </c>
      <c r="J96">
        <v>684.2</v>
      </c>
    </row>
    <row r="97" spans="1:10" x14ac:dyDescent="0.25">
      <c r="A97">
        <v>197</v>
      </c>
      <c r="B97" t="s">
        <v>31</v>
      </c>
      <c r="C97" t="s">
        <v>23</v>
      </c>
      <c r="D97" t="s">
        <v>18</v>
      </c>
      <c r="E97" t="s">
        <v>13</v>
      </c>
      <c r="F97">
        <v>8</v>
      </c>
      <c r="G97">
        <v>40887</v>
      </c>
      <c r="H97" s="2">
        <v>45023</v>
      </c>
      <c r="I97">
        <v>327096</v>
      </c>
      <c r="J97">
        <v>8177.4</v>
      </c>
    </row>
    <row r="98" spans="1:10" x14ac:dyDescent="0.25">
      <c r="A98">
        <v>198</v>
      </c>
      <c r="B98" t="s">
        <v>6</v>
      </c>
      <c r="C98" t="s">
        <v>20</v>
      </c>
      <c r="D98" t="s">
        <v>18</v>
      </c>
      <c r="E98" t="s">
        <v>19</v>
      </c>
      <c r="F98">
        <v>5</v>
      </c>
      <c r="G98">
        <v>6319</v>
      </c>
      <c r="H98" s="2">
        <v>45024</v>
      </c>
      <c r="I98">
        <v>31595</v>
      </c>
      <c r="J98">
        <v>1263.8</v>
      </c>
    </row>
    <row r="99" spans="1:10" x14ac:dyDescent="0.25">
      <c r="A99">
        <v>199</v>
      </c>
      <c r="B99" t="s">
        <v>31</v>
      </c>
      <c r="C99" t="s">
        <v>23</v>
      </c>
      <c r="D99" t="s">
        <v>12</v>
      </c>
      <c r="E99" t="s">
        <v>27</v>
      </c>
      <c r="F99">
        <v>4</v>
      </c>
      <c r="G99">
        <v>16896</v>
      </c>
      <c r="H99" s="2">
        <v>45025</v>
      </c>
      <c r="I99">
        <v>67584</v>
      </c>
      <c r="J99">
        <v>3379.2</v>
      </c>
    </row>
    <row r="100" spans="1:10" x14ac:dyDescent="0.25">
      <c r="A100">
        <v>200</v>
      </c>
      <c r="B100" t="s">
        <v>14</v>
      </c>
      <c r="C100" t="s">
        <v>11</v>
      </c>
      <c r="D100" t="s">
        <v>15</v>
      </c>
      <c r="E100" t="s">
        <v>25</v>
      </c>
      <c r="F100">
        <v>2</v>
      </c>
      <c r="G100">
        <v>12918</v>
      </c>
      <c r="H100" s="2">
        <v>45026</v>
      </c>
      <c r="I100">
        <v>25836</v>
      </c>
      <c r="J100">
        <v>2583.6</v>
      </c>
    </row>
    <row r="101" spans="1:10" x14ac:dyDescent="0.25">
      <c r="A101">
        <v>201</v>
      </c>
      <c r="B101" t="s">
        <v>28</v>
      </c>
      <c r="C101" t="s">
        <v>7</v>
      </c>
      <c r="D101" t="s">
        <v>18</v>
      </c>
      <c r="E101" t="s">
        <v>19</v>
      </c>
      <c r="F101">
        <v>3</v>
      </c>
      <c r="G101">
        <v>26064</v>
      </c>
      <c r="H101" s="2">
        <v>45027</v>
      </c>
      <c r="I101">
        <v>78192</v>
      </c>
      <c r="J101">
        <v>5212.8</v>
      </c>
    </row>
    <row r="102" spans="1:10" x14ac:dyDescent="0.25">
      <c r="A102">
        <v>202</v>
      </c>
      <c r="B102" t="s">
        <v>30</v>
      </c>
      <c r="C102" t="s">
        <v>7</v>
      </c>
      <c r="D102" t="s">
        <v>8</v>
      </c>
      <c r="E102" t="s">
        <v>25</v>
      </c>
      <c r="F102">
        <v>3</v>
      </c>
      <c r="G102">
        <v>47617</v>
      </c>
      <c r="H102" s="2">
        <v>45028</v>
      </c>
      <c r="I102">
        <v>142851</v>
      </c>
      <c r="J102">
        <v>9523.4</v>
      </c>
    </row>
    <row r="103" spans="1:10" x14ac:dyDescent="0.25">
      <c r="A103">
        <v>203</v>
      </c>
      <c r="B103" t="s">
        <v>6</v>
      </c>
      <c r="C103" t="s">
        <v>11</v>
      </c>
      <c r="D103" t="s">
        <v>8</v>
      </c>
      <c r="E103" t="s">
        <v>25</v>
      </c>
      <c r="F103">
        <v>4</v>
      </c>
      <c r="G103">
        <v>28935</v>
      </c>
      <c r="H103" s="2">
        <v>45029</v>
      </c>
      <c r="I103">
        <v>115740</v>
      </c>
      <c r="J103">
        <v>5787</v>
      </c>
    </row>
    <row r="104" spans="1:10" x14ac:dyDescent="0.25">
      <c r="A104">
        <v>204</v>
      </c>
      <c r="B104" t="s">
        <v>6</v>
      </c>
      <c r="C104" t="s">
        <v>7</v>
      </c>
      <c r="D104" t="s">
        <v>18</v>
      </c>
      <c r="E104" t="s">
        <v>29</v>
      </c>
      <c r="F104">
        <v>4</v>
      </c>
      <c r="G104">
        <v>38641</v>
      </c>
      <c r="H104" s="2">
        <v>45030</v>
      </c>
      <c r="I104">
        <v>154564</v>
      </c>
      <c r="J104">
        <v>7728.2</v>
      </c>
    </row>
    <row r="105" spans="1:10" x14ac:dyDescent="0.25">
      <c r="A105">
        <v>205</v>
      </c>
      <c r="B105" t="s">
        <v>14</v>
      </c>
      <c r="C105" t="s">
        <v>11</v>
      </c>
      <c r="D105" t="s">
        <v>18</v>
      </c>
      <c r="E105" t="s">
        <v>19</v>
      </c>
      <c r="F105">
        <v>5</v>
      </c>
      <c r="G105">
        <v>30711</v>
      </c>
      <c r="H105" s="2">
        <v>45031</v>
      </c>
      <c r="I105">
        <v>153555</v>
      </c>
      <c r="J105">
        <v>6142.2</v>
      </c>
    </row>
    <row r="106" spans="1:10" x14ac:dyDescent="0.25">
      <c r="A106">
        <v>206</v>
      </c>
      <c r="B106" t="s">
        <v>17</v>
      </c>
      <c r="C106" t="s">
        <v>11</v>
      </c>
      <c r="D106" t="s">
        <v>15</v>
      </c>
      <c r="E106" t="s">
        <v>9</v>
      </c>
      <c r="F106">
        <v>4</v>
      </c>
      <c r="G106">
        <v>5806</v>
      </c>
      <c r="H106" s="2">
        <v>45032</v>
      </c>
      <c r="I106">
        <v>23224</v>
      </c>
      <c r="J106">
        <v>1161.2</v>
      </c>
    </row>
    <row r="107" spans="1:10" x14ac:dyDescent="0.25">
      <c r="A107">
        <v>207</v>
      </c>
      <c r="B107" t="s">
        <v>22</v>
      </c>
      <c r="C107" t="s">
        <v>11</v>
      </c>
      <c r="D107" t="s">
        <v>15</v>
      </c>
      <c r="E107" t="s">
        <v>29</v>
      </c>
      <c r="F107">
        <v>8</v>
      </c>
      <c r="G107">
        <v>42360</v>
      </c>
      <c r="H107" s="2">
        <v>45033</v>
      </c>
      <c r="I107">
        <v>338880</v>
      </c>
      <c r="J107">
        <v>8472</v>
      </c>
    </row>
    <row r="108" spans="1:10" x14ac:dyDescent="0.25">
      <c r="A108">
        <v>208</v>
      </c>
      <c r="B108" t="s">
        <v>14</v>
      </c>
      <c r="C108" t="s">
        <v>7</v>
      </c>
      <c r="D108" t="s">
        <v>12</v>
      </c>
      <c r="E108" t="s">
        <v>9</v>
      </c>
      <c r="F108">
        <v>6</v>
      </c>
      <c r="G108">
        <v>13182</v>
      </c>
      <c r="H108" s="2">
        <v>45034</v>
      </c>
      <c r="I108">
        <v>79092</v>
      </c>
      <c r="J108">
        <v>2636.4</v>
      </c>
    </row>
    <row r="109" spans="1:10" x14ac:dyDescent="0.25">
      <c r="A109">
        <v>209</v>
      </c>
      <c r="B109" t="s">
        <v>26</v>
      </c>
      <c r="C109" t="s">
        <v>23</v>
      </c>
      <c r="D109" t="s">
        <v>15</v>
      </c>
      <c r="E109" t="s">
        <v>25</v>
      </c>
      <c r="F109">
        <v>6</v>
      </c>
      <c r="G109">
        <v>23297</v>
      </c>
      <c r="H109" s="2">
        <v>45035</v>
      </c>
      <c r="I109">
        <v>139782</v>
      </c>
      <c r="J109">
        <v>4659.3999999999996</v>
      </c>
    </row>
    <row r="110" spans="1:10" x14ac:dyDescent="0.25">
      <c r="A110">
        <v>210</v>
      </c>
      <c r="B110" t="s">
        <v>22</v>
      </c>
      <c r="C110" t="s">
        <v>11</v>
      </c>
      <c r="D110" t="s">
        <v>8</v>
      </c>
      <c r="E110" t="s">
        <v>25</v>
      </c>
      <c r="F110">
        <v>8</v>
      </c>
      <c r="G110">
        <v>20541</v>
      </c>
      <c r="H110" s="2">
        <v>45036</v>
      </c>
      <c r="I110">
        <v>164328</v>
      </c>
      <c r="J110">
        <v>4108.2</v>
      </c>
    </row>
    <row r="111" spans="1:10" x14ac:dyDescent="0.25">
      <c r="A111">
        <v>211</v>
      </c>
      <c r="B111" t="s">
        <v>30</v>
      </c>
      <c r="C111" t="s">
        <v>20</v>
      </c>
      <c r="D111" t="s">
        <v>8</v>
      </c>
      <c r="E111" t="s">
        <v>29</v>
      </c>
      <c r="F111">
        <v>7</v>
      </c>
      <c r="G111">
        <v>29921</v>
      </c>
      <c r="H111" s="2">
        <v>45037</v>
      </c>
      <c r="I111">
        <v>209447</v>
      </c>
      <c r="J111">
        <v>5984.2</v>
      </c>
    </row>
    <row r="112" spans="1:10" x14ac:dyDescent="0.25">
      <c r="A112">
        <v>212</v>
      </c>
      <c r="B112" t="s">
        <v>22</v>
      </c>
      <c r="C112" t="s">
        <v>7</v>
      </c>
      <c r="D112" t="s">
        <v>18</v>
      </c>
      <c r="E112" t="s">
        <v>29</v>
      </c>
      <c r="F112">
        <v>8</v>
      </c>
      <c r="G112">
        <v>17774</v>
      </c>
      <c r="H112" s="2">
        <v>45038</v>
      </c>
      <c r="I112">
        <v>142192</v>
      </c>
      <c r="J112">
        <v>3554.8</v>
      </c>
    </row>
    <row r="113" spans="1:10" x14ac:dyDescent="0.25">
      <c r="A113">
        <v>213</v>
      </c>
      <c r="B113" t="s">
        <v>17</v>
      </c>
      <c r="C113" t="s">
        <v>11</v>
      </c>
      <c r="D113" t="s">
        <v>15</v>
      </c>
      <c r="E113" t="s">
        <v>9</v>
      </c>
      <c r="F113">
        <v>2</v>
      </c>
      <c r="G113">
        <v>45813</v>
      </c>
      <c r="H113" s="2">
        <v>45039</v>
      </c>
      <c r="I113">
        <v>91626</v>
      </c>
      <c r="J113">
        <v>9162.6</v>
      </c>
    </row>
    <row r="114" spans="1:10" x14ac:dyDescent="0.25">
      <c r="A114">
        <v>214</v>
      </c>
      <c r="B114" t="s">
        <v>22</v>
      </c>
      <c r="C114" t="s">
        <v>11</v>
      </c>
      <c r="D114" t="s">
        <v>12</v>
      </c>
      <c r="E114" t="s">
        <v>13</v>
      </c>
      <c r="F114">
        <v>9</v>
      </c>
      <c r="G114">
        <v>38198</v>
      </c>
      <c r="H114" s="2">
        <v>45040</v>
      </c>
      <c r="I114">
        <v>343782</v>
      </c>
      <c r="J114">
        <v>7639.6</v>
      </c>
    </row>
    <row r="115" spans="1:10" x14ac:dyDescent="0.25">
      <c r="A115">
        <v>215</v>
      </c>
      <c r="B115" t="s">
        <v>30</v>
      </c>
      <c r="C115" t="s">
        <v>20</v>
      </c>
      <c r="D115" t="s">
        <v>8</v>
      </c>
      <c r="E115" t="s">
        <v>9</v>
      </c>
      <c r="F115">
        <v>1</v>
      </c>
      <c r="G115">
        <v>9820</v>
      </c>
      <c r="H115" s="2">
        <v>45041</v>
      </c>
      <c r="I115">
        <v>9820</v>
      </c>
      <c r="J115">
        <v>1964</v>
      </c>
    </row>
    <row r="116" spans="1:10" x14ac:dyDescent="0.25">
      <c r="A116">
        <v>216</v>
      </c>
      <c r="B116" t="s">
        <v>17</v>
      </c>
      <c r="C116" t="s">
        <v>23</v>
      </c>
      <c r="D116" t="s">
        <v>8</v>
      </c>
      <c r="E116" t="s">
        <v>29</v>
      </c>
      <c r="F116">
        <v>8</v>
      </c>
      <c r="G116">
        <v>25070</v>
      </c>
      <c r="H116" s="2">
        <v>45042</v>
      </c>
      <c r="I116">
        <v>200560</v>
      </c>
      <c r="J116">
        <v>5014</v>
      </c>
    </row>
    <row r="117" spans="1:10" x14ac:dyDescent="0.25">
      <c r="A117">
        <v>217</v>
      </c>
      <c r="B117" t="s">
        <v>21</v>
      </c>
      <c r="C117" t="s">
        <v>23</v>
      </c>
      <c r="D117" t="s">
        <v>12</v>
      </c>
      <c r="E117" t="s">
        <v>24</v>
      </c>
      <c r="F117">
        <v>4</v>
      </c>
      <c r="G117">
        <v>5232</v>
      </c>
      <c r="H117" s="2">
        <v>45043</v>
      </c>
      <c r="I117">
        <v>20928</v>
      </c>
      <c r="J117">
        <v>1046.4000000000001</v>
      </c>
    </row>
    <row r="118" spans="1:10" x14ac:dyDescent="0.25">
      <c r="A118">
        <v>218</v>
      </c>
      <c r="B118" t="s">
        <v>6</v>
      </c>
      <c r="C118" t="s">
        <v>23</v>
      </c>
      <c r="D118" t="s">
        <v>12</v>
      </c>
      <c r="E118" t="s">
        <v>29</v>
      </c>
      <c r="F118">
        <v>4</v>
      </c>
      <c r="G118">
        <v>12122</v>
      </c>
      <c r="H118" s="2">
        <v>45044</v>
      </c>
      <c r="I118">
        <v>48488</v>
      </c>
      <c r="J118">
        <v>2424.4</v>
      </c>
    </row>
    <row r="119" spans="1:10" x14ac:dyDescent="0.25">
      <c r="A119">
        <v>219</v>
      </c>
      <c r="B119" t="s">
        <v>6</v>
      </c>
      <c r="C119" t="s">
        <v>11</v>
      </c>
      <c r="D119" t="s">
        <v>8</v>
      </c>
      <c r="E119" t="s">
        <v>24</v>
      </c>
      <c r="F119">
        <v>5</v>
      </c>
      <c r="G119">
        <v>16023</v>
      </c>
      <c r="H119" s="2">
        <v>45045</v>
      </c>
      <c r="I119">
        <v>80115</v>
      </c>
      <c r="J119">
        <v>3204.6</v>
      </c>
    </row>
    <row r="120" spans="1:10" x14ac:dyDescent="0.25">
      <c r="A120">
        <v>220</v>
      </c>
      <c r="B120" t="s">
        <v>31</v>
      </c>
      <c r="C120" t="s">
        <v>11</v>
      </c>
      <c r="D120" t="s">
        <v>8</v>
      </c>
      <c r="E120" t="s">
        <v>27</v>
      </c>
      <c r="F120">
        <v>8</v>
      </c>
      <c r="G120">
        <v>9007</v>
      </c>
      <c r="H120" s="2">
        <v>45046</v>
      </c>
      <c r="I120">
        <v>72056</v>
      </c>
      <c r="J120">
        <v>1801.4</v>
      </c>
    </row>
    <row r="121" spans="1:10" x14ac:dyDescent="0.25">
      <c r="A121">
        <v>221</v>
      </c>
      <c r="B121" t="s">
        <v>21</v>
      </c>
      <c r="C121" t="s">
        <v>11</v>
      </c>
      <c r="D121" t="s">
        <v>12</v>
      </c>
      <c r="E121" t="s">
        <v>29</v>
      </c>
      <c r="F121">
        <v>5</v>
      </c>
      <c r="G121">
        <v>18905</v>
      </c>
      <c r="H121" s="2">
        <v>45047</v>
      </c>
      <c r="I121">
        <v>94525</v>
      </c>
      <c r="J121">
        <v>3781</v>
      </c>
    </row>
    <row r="122" spans="1:10" x14ac:dyDescent="0.25">
      <c r="A122">
        <v>222</v>
      </c>
      <c r="B122" t="s">
        <v>21</v>
      </c>
      <c r="C122" t="s">
        <v>7</v>
      </c>
      <c r="D122" t="s">
        <v>8</v>
      </c>
      <c r="E122" t="s">
        <v>27</v>
      </c>
      <c r="F122">
        <v>8</v>
      </c>
      <c r="G122">
        <v>42786</v>
      </c>
      <c r="H122" s="2">
        <v>45048</v>
      </c>
      <c r="I122">
        <v>342288</v>
      </c>
      <c r="J122">
        <v>8557.2000000000007</v>
      </c>
    </row>
    <row r="123" spans="1:10" x14ac:dyDescent="0.25">
      <c r="A123">
        <v>223</v>
      </c>
      <c r="B123" t="s">
        <v>22</v>
      </c>
      <c r="C123" t="s">
        <v>20</v>
      </c>
      <c r="D123" t="s">
        <v>18</v>
      </c>
      <c r="E123" t="s">
        <v>13</v>
      </c>
      <c r="F123">
        <v>1</v>
      </c>
      <c r="G123">
        <v>30398</v>
      </c>
      <c r="H123" s="2">
        <v>45049</v>
      </c>
      <c r="I123">
        <v>30398</v>
      </c>
      <c r="J123">
        <v>6079.6</v>
      </c>
    </row>
    <row r="124" spans="1:10" x14ac:dyDescent="0.25">
      <c r="A124">
        <v>224</v>
      </c>
      <c r="B124" t="s">
        <v>6</v>
      </c>
      <c r="C124" t="s">
        <v>11</v>
      </c>
      <c r="D124" t="s">
        <v>18</v>
      </c>
      <c r="E124" t="s">
        <v>9</v>
      </c>
      <c r="F124">
        <v>9</v>
      </c>
      <c r="G124">
        <v>35268</v>
      </c>
      <c r="H124" s="2">
        <v>45050</v>
      </c>
      <c r="I124">
        <v>317412</v>
      </c>
      <c r="J124">
        <v>7053.6</v>
      </c>
    </row>
    <row r="125" spans="1:10" x14ac:dyDescent="0.25">
      <c r="A125">
        <v>225</v>
      </c>
      <c r="B125" t="s">
        <v>30</v>
      </c>
      <c r="C125" t="s">
        <v>20</v>
      </c>
      <c r="D125" t="s">
        <v>12</v>
      </c>
      <c r="E125" t="s">
        <v>24</v>
      </c>
      <c r="F125">
        <v>6</v>
      </c>
      <c r="G125">
        <v>7737</v>
      </c>
      <c r="H125" s="2">
        <v>45051</v>
      </c>
      <c r="I125">
        <v>46422</v>
      </c>
      <c r="J125">
        <v>1547.4</v>
      </c>
    </row>
    <row r="126" spans="1:10" x14ac:dyDescent="0.25">
      <c r="A126">
        <v>226</v>
      </c>
      <c r="B126" t="s">
        <v>10</v>
      </c>
      <c r="C126" t="s">
        <v>20</v>
      </c>
      <c r="D126" t="s">
        <v>15</v>
      </c>
      <c r="E126" t="s">
        <v>9</v>
      </c>
      <c r="F126">
        <v>3</v>
      </c>
      <c r="G126">
        <v>37062</v>
      </c>
      <c r="H126" s="2">
        <v>45052</v>
      </c>
      <c r="I126">
        <v>111186</v>
      </c>
      <c r="J126">
        <v>7412.4</v>
      </c>
    </row>
    <row r="127" spans="1:10" x14ac:dyDescent="0.25">
      <c r="A127">
        <v>227</v>
      </c>
      <c r="B127" t="s">
        <v>10</v>
      </c>
      <c r="C127" t="s">
        <v>23</v>
      </c>
      <c r="D127" t="s">
        <v>12</v>
      </c>
      <c r="E127" t="s">
        <v>27</v>
      </c>
      <c r="F127">
        <v>8</v>
      </c>
      <c r="G127">
        <v>26510</v>
      </c>
      <c r="H127" s="2">
        <v>45053</v>
      </c>
      <c r="I127">
        <v>212080</v>
      </c>
      <c r="J127">
        <v>5302</v>
      </c>
    </row>
    <row r="128" spans="1:10" x14ac:dyDescent="0.25">
      <c r="A128">
        <v>228</v>
      </c>
      <c r="B128" t="s">
        <v>17</v>
      </c>
      <c r="C128" t="s">
        <v>7</v>
      </c>
      <c r="D128" t="s">
        <v>12</v>
      </c>
      <c r="E128" t="s">
        <v>24</v>
      </c>
      <c r="F128">
        <v>9</v>
      </c>
      <c r="G128">
        <v>20426</v>
      </c>
      <c r="H128" s="2">
        <v>45054</v>
      </c>
      <c r="I128">
        <v>183834</v>
      </c>
      <c r="J128">
        <v>4085.2</v>
      </c>
    </row>
    <row r="129" spans="1:10" x14ac:dyDescent="0.25">
      <c r="A129">
        <v>229</v>
      </c>
      <c r="B129" t="s">
        <v>6</v>
      </c>
      <c r="C129" t="s">
        <v>11</v>
      </c>
      <c r="D129" t="s">
        <v>15</v>
      </c>
      <c r="E129" t="s">
        <v>9</v>
      </c>
      <c r="F129">
        <v>6</v>
      </c>
      <c r="G129">
        <v>38265</v>
      </c>
      <c r="H129" s="2">
        <v>45055</v>
      </c>
      <c r="I129">
        <v>229590</v>
      </c>
      <c r="J129">
        <v>7653</v>
      </c>
    </row>
    <row r="130" spans="1:10" x14ac:dyDescent="0.25">
      <c r="A130">
        <v>230</v>
      </c>
      <c r="B130" t="s">
        <v>6</v>
      </c>
      <c r="C130" t="s">
        <v>23</v>
      </c>
      <c r="D130" t="s">
        <v>15</v>
      </c>
      <c r="E130" t="s">
        <v>29</v>
      </c>
      <c r="F130">
        <v>7</v>
      </c>
      <c r="G130">
        <v>18850</v>
      </c>
      <c r="H130" s="2">
        <v>45056</v>
      </c>
      <c r="I130">
        <v>131950</v>
      </c>
      <c r="J130">
        <v>3770</v>
      </c>
    </row>
    <row r="131" spans="1:10" x14ac:dyDescent="0.25">
      <c r="A131">
        <v>231</v>
      </c>
      <c r="B131" t="s">
        <v>10</v>
      </c>
      <c r="C131" t="s">
        <v>23</v>
      </c>
      <c r="D131" t="s">
        <v>15</v>
      </c>
      <c r="E131" t="s">
        <v>25</v>
      </c>
      <c r="F131">
        <v>1</v>
      </c>
      <c r="G131">
        <v>1614</v>
      </c>
      <c r="H131" s="2">
        <v>45057</v>
      </c>
      <c r="I131">
        <v>1614</v>
      </c>
      <c r="J131">
        <v>322.8</v>
      </c>
    </row>
    <row r="132" spans="1:10" x14ac:dyDescent="0.25">
      <c r="A132">
        <v>232</v>
      </c>
      <c r="B132" t="s">
        <v>6</v>
      </c>
      <c r="C132" t="s">
        <v>11</v>
      </c>
      <c r="D132" t="s">
        <v>18</v>
      </c>
      <c r="E132" t="s">
        <v>27</v>
      </c>
      <c r="F132">
        <v>5</v>
      </c>
      <c r="G132">
        <v>22776</v>
      </c>
      <c r="H132" s="2">
        <v>45058</v>
      </c>
      <c r="I132">
        <v>113880</v>
      </c>
      <c r="J132">
        <v>4555.2</v>
      </c>
    </row>
    <row r="133" spans="1:10" x14ac:dyDescent="0.25">
      <c r="A133">
        <v>233</v>
      </c>
      <c r="B133" t="s">
        <v>22</v>
      </c>
      <c r="C133" t="s">
        <v>20</v>
      </c>
      <c r="D133" t="s">
        <v>8</v>
      </c>
      <c r="E133" t="s">
        <v>9</v>
      </c>
      <c r="F133">
        <v>5</v>
      </c>
      <c r="G133">
        <v>25077</v>
      </c>
      <c r="H133" s="2">
        <v>45059</v>
      </c>
      <c r="I133">
        <v>125385</v>
      </c>
      <c r="J133">
        <v>5015.3999999999996</v>
      </c>
    </row>
    <row r="134" spans="1:10" x14ac:dyDescent="0.25">
      <c r="A134">
        <v>234</v>
      </c>
      <c r="B134" t="s">
        <v>26</v>
      </c>
      <c r="C134" t="s">
        <v>23</v>
      </c>
      <c r="D134" t="s">
        <v>18</v>
      </c>
      <c r="E134" t="s">
        <v>27</v>
      </c>
      <c r="F134">
        <v>4</v>
      </c>
      <c r="G134">
        <v>10374</v>
      </c>
      <c r="H134" s="2">
        <v>45060</v>
      </c>
      <c r="I134">
        <v>41496</v>
      </c>
      <c r="J134">
        <v>2074.8000000000002</v>
      </c>
    </row>
    <row r="135" spans="1:10" x14ac:dyDescent="0.25">
      <c r="A135">
        <v>235</v>
      </c>
      <c r="B135" t="s">
        <v>28</v>
      </c>
      <c r="C135" t="s">
        <v>20</v>
      </c>
      <c r="D135" t="s">
        <v>8</v>
      </c>
      <c r="E135" t="s">
        <v>16</v>
      </c>
      <c r="F135">
        <v>6</v>
      </c>
      <c r="G135">
        <v>36435</v>
      </c>
      <c r="H135" s="2">
        <v>45061</v>
      </c>
      <c r="I135">
        <v>218610</v>
      </c>
      <c r="J135">
        <v>7287</v>
      </c>
    </row>
    <row r="136" spans="1:10" x14ac:dyDescent="0.25">
      <c r="A136">
        <v>236</v>
      </c>
      <c r="B136" t="s">
        <v>21</v>
      </c>
      <c r="C136" t="s">
        <v>7</v>
      </c>
      <c r="D136" t="s">
        <v>18</v>
      </c>
      <c r="E136" t="s">
        <v>27</v>
      </c>
      <c r="F136">
        <v>7</v>
      </c>
      <c r="G136">
        <v>31907</v>
      </c>
      <c r="H136" s="2">
        <v>45062</v>
      </c>
      <c r="I136">
        <v>223349</v>
      </c>
      <c r="J136">
        <v>6381.4</v>
      </c>
    </row>
    <row r="137" spans="1:10" x14ac:dyDescent="0.25">
      <c r="A137">
        <v>237</v>
      </c>
      <c r="B137" t="s">
        <v>31</v>
      </c>
      <c r="C137" t="s">
        <v>20</v>
      </c>
      <c r="D137" t="s">
        <v>8</v>
      </c>
      <c r="E137" t="s">
        <v>24</v>
      </c>
      <c r="F137">
        <v>9</v>
      </c>
      <c r="G137">
        <v>14409</v>
      </c>
      <c r="H137" s="2">
        <v>45063</v>
      </c>
      <c r="I137">
        <v>129681</v>
      </c>
      <c r="J137">
        <v>2881.8</v>
      </c>
    </row>
    <row r="138" spans="1:10" x14ac:dyDescent="0.25">
      <c r="A138">
        <v>238</v>
      </c>
      <c r="B138" t="s">
        <v>17</v>
      </c>
      <c r="C138" t="s">
        <v>7</v>
      </c>
      <c r="D138" t="s">
        <v>18</v>
      </c>
      <c r="E138" t="s">
        <v>16</v>
      </c>
      <c r="F138">
        <v>1</v>
      </c>
      <c r="G138">
        <v>17514</v>
      </c>
      <c r="H138" s="2">
        <v>45064</v>
      </c>
      <c r="I138">
        <v>17514</v>
      </c>
      <c r="J138">
        <v>3502.8</v>
      </c>
    </row>
    <row r="139" spans="1:10" x14ac:dyDescent="0.25">
      <c r="A139">
        <v>239</v>
      </c>
      <c r="B139" t="s">
        <v>26</v>
      </c>
      <c r="C139" t="s">
        <v>20</v>
      </c>
      <c r="D139" t="s">
        <v>15</v>
      </c>
      <c r="E139" t="s">
        <v>19</v>
      </c>
      <c r="F139">
        <v>6</v>
      </c>
      <c r="G139">
        <v>30866</v>
      </c>
      <c r="H139" s="2">
        <v>45065</v>
      </c>
      <c r="I139">
        <v>185196</v>
      </c>
      <c r="J139">
        <v>6173.2</v>
      </c>
    </row>
    <row r="140" spans="1:10" x14ac:dyDescent="0.25">
      <c r="A140">
        <v>240</v>
      </c>
      <c r="B140" t="s">
        <v>10</v>
      </c>
      <c r="C140" t="s">
        <v>23</v>
      </c>
      <c r="D140" t="s">
        <v>12</v>
      </c>
      <c r="E140" t="s">
        <v>24</v>
      </c>
      <c r="F140">
        <v>7</v>
      </c>
      <c r="G140">
        <v>3983</v>
      </c>
      <c r="H140" s="2">
        <v>45066</v>
      </c>
      <c r="I140">
        <v>27881</v>
      </c>
      <c r="J140">
        <v>796.6</v>
      </c>
    </row>
    <row r="141" spans="1:10" x14ac:dyDescent="0.25">
      <c r="A141">
        <v>241</v>
      </c>
      <c r="B141" t="s">
        <v>21</v>
      </c>
      <c r="C141" t="s">
        <v>23</v>
      </c>
      <c r="D141" t="s">
        <v>18</v>
      </c>
      <c r="E141" t="s">
        <v>25</v>
      </c>
      <c r="F141">
        <v>3</v>
      </c>
      <c r="G141">
        <v>32705</v>
      </c>
      <c r="H141" s="2">
        <v>45067</v>
      </c>
      <c r="I141">
        <v>98115</v>
      </c>
      <c r="J141">
        <v>6541</v>
      </c>
    </row>
    <row r="142" spans="1:10" x14ac:dyDescent="0.25">
      <c r="A142">
        <v>242</v>
      </c>
      <c r="B142" t="s">
        <v>6</v>
      </c>
      <c r="C142" t="s">
        <v>7</v>
      </c>
      <c r="D142" t="s">
        <v>8</v>
      </c>
      <c r="E142" t="s">
        <v>16</v>
      </c>
      <c r="F142">
        <v>8</v>
      </c>
      <c r="G142">
        <v>21662</v>
      </c>
      <c r="H142" s="2">
        <v>45068</v>
      </c>
      <c r="I142">
        <v>173296</v>
      </c>
      <c r="J142">
        <v>4332.3999999999996</v>
      </c>
    </row>
    <row r="143" spans="1:10" x14ac:dyDescent="0.25">
      <c r="A143">
        <v>243</v>
      </c>
      <c r="B143" t="s">
        <v>31</v>
      </c>
      <c r="C143" t="s">
        <v>11</v>
      </c>
      <c r="D143" t="s">
        <v>15</v>
      </c>
      <c r="E143" t="s">
        <v>19</v>
      </c>
      <c r="F143">
        <v>5</v>
      </c>
      <c r="G143">
        <v>24510</v>
      </c>
      <c r="H143" s="2">
        <v>45069</v>
      </c>
      <c r="I143">
        <v>122550</v>
      </c>
      <c r="J143">
        <v>4902</v>
      </c>
    </row>
    <row r="144" spans="1:10" x14ac:dyDescent="0.25">
      <c r="A144">
        <v>244</v>
      </c>
      <c r="B144" t="s">
        <v>6</v>
      </c>
      <c r="C144" t="s">
        <v>7</v>
      </c>
      <c r="D144" t="s">
        <v>18</v>
      </c>
      <c r="E144" t="s">
        <v>29</v>
      </c>
      <c r="F144">
        <v>9</v>
      </c>
      <c r="G144">
        <v>13651</v>
      </c>
      <c r="H144" s="2">
        <v>45070</v>
      </c>
      <c r="I144">
        <v>122859</v>
      </c>
      <c r="J144">
        <v>2730.2</v>
      </c>
    </row>
    <row r="145" spans="1:10" x14ac:dyDescent="0.25">
      <c r="A145">
        <v>245</v>
      </c>
      <c r="B145" t="s">
        <v>30</v>
      </c>
      <c r="C145" t="s">
        <v>7</v>
      </c>
      <c r="D145" t="s">
        <v>18</v>
      </c>
      <c r="E145" t="s">
        <v>27</v>
      </c>
      <c r="F145">
        <v>5</v>
      </c>
      <c r="G145">
        <v>41998</v>
      </c>
      <c r="H145" s="2">
        <v>45071</v>
      </c>
      <c r="I145">
        <v>209990</v>
      </c>
      <c r="J145">
        <v>8399.6</v>
      </c>
    </row>
    <row r="146" spans="1:10" x14ac:dyDescent="0.25">
      <c r="A146">
        <v>246</v>
      </c>
      <c r="B146" t="s">
        <v>30</v>
      </c>
      <c r="C146" t="s">
        <v>20</v>
      </c>
      <c r="D146" t="s">
        <v>15</v>
      </c>
      <c r="E146" t="s">
        <v>9</v>
      </c>
      <c r="F146">
        <v>9</v>
      </c>
      <c r="G146">
        <v>29535</v>
      </c>
      <c r="H146" s="2">
        <v>45072</v>
      </c>
      <c r="I146">
        <v>265815</v>
      </c>
      <c r="J146">
        <v>5907</v>
      </c>
    </row>
    <row r="147" spans="1:10" x14ac:dyDescent="0.25">
      <c r="A147">
        <v>247</v>
      </c>
      <c r="B147" t="s">
        <v>31</v>
      </c>
      <c r="C147" t="s">
        <v>20</v>
      </c>
      <c r="D147" t="s">
        <v>18</v>
      </c>
      <c r="E147" t="s">
        <v>13</v>
      </c>
      <c r="F147">
        <v>4</v>
      </c>
      <c r="G147">
        <v>7640</v>
      </c>
      <c r="H147" s="2">
        <v>45073</v>
      </c>
      <c r="I147">
        <v>30560</v>
      </c>
      <c r="J147">
        <v>1528</v>
      </c>
    </row>
    <row r="148" spans="1:10" x14ac:dyDescent="0.25">
      <c r="A148">
        <v>248</v>
      </c>
      <c r="B148" t="s">
        <v>31</v>
      </c>
      <c r="C148" t="s">
        <v>7</v>
      </c>
      <c r="D148" t="s">
        <v>12</v>
      </c>
      <c r="E148" t="s">
        <v>27</v>
      </c>
      <c r="F148">
        <v>9</v>
      </c>
      <c r="G148">
        <v>45547</v>
      </c>
      <c r="H148" s="2">
        <v>45074</v>
      </c>
      <c r="I148">
        <v>409923</v>
      </c>
      <c r="J148">
        <v>9109.4</v>
      </c>
    </row>
    <row r="149" spans="1:10" x14ac:dyDescent="0.25">
      <c r="A149">
        <v>249</v>
      </c>
      <c r="B149" t="s">
        <v>10</v>
      </c>
      <c r="C149" t="s">
        <v>23</v>
      </c>
      <c r="D149" t="s">
        <v>18</v>
      </c>
      <c r="E149" t="s">
        <v>19</v>
      </c>
      <c r="F149">
        <v>5</v>
      </c>
      <c r="G149">
        <v>16317</v>
      </c>
      <c r="H149" s="2">
        <v>45075</v>
      </c>
      <c r="I149">
        <v>81585</v>
      </c>
      <c r="J149">
        <v>3263.4</v>
      </c>
    </row>
    <row r="150" spans="1:10" x14ac:dyDescent="0.25">
      <c r="A150">
        <v>250</v>
      </c>
      <c r="B150" t="s">
        <v>31</v>
      </c>
      <c r="C150" t="s">
        <v>20</v>
      </c>
      <c r="D150" t="s">
        <v>12</v>
      </c>
      <c r="E150" t="s">
        <v>27</v>
      </c>
      <c r="F150">
        <v>9</v>
      </c>
      <c r="G150">
        <v>8564</v>
      </c>
      <c r="H150" s="2">
        <v>45076</v>
      </c>
      <c r="I150">
        <v>77076</v>
      </c>
      <c r="J150">
        <v>1712.8</v>
      </c>
    </row>
    <row r="151" spans="1:10" x14ac:dyDescent="0.25">
      <c r="A151">
        <v>251</v>
      </c>
      <c r="B151" t="s">
        <v>22</v>
      </c>
      <c r="C151" t="s">
        <v>11</v>
      </c>
      <c r="D151" t="s">
        <v>12</v>
      </c>
      <c r="E151" t="s">
        <v>25</v>
      </c>
      <c r="F151">
        <v>3</v>
      </c>
      <c r="G151">
        <v>28345</v>
      </c>
      <c r="H151" s="2">
        <v>45077</v>
      </c>
      <c r="I151">
        <v>85035</v>
      </c>
      <c r="J151">
        <v>5669</v>
      </c>
    </row>
    <row r="152" spans="1:10" x14ac:dyDescent="0.25">
      <c r="A152">
        <v>252</v>
      </c>
      <c r="B152" t="s">
        <v>6</v>
      </c>
      <c r="C152" t="s">
        <v>20</v>
      </c>
      <c r="D152" t="s">
        <v>15</v>
      </c>
      <c r="E152" t="s">
        <v>29</v>
      </c>
      <c r="F152">
        <v>4</v>
      </c>
      <c r="G152">
        <v>49288</v>
      </c>
      <c r="H152" s="2">
        <v>45078</v>
      </c>
      <c r="I152">
        <v>197152</v>
      </c>
      <c r="J152">
        <v>9857.6</v>
      </c>
    </row>
    <row r="153" spans="1:10" x14ac:dyDescent="0.25">
      <c r="A153">
        <v>253</v>
      </c>
      <c r="B153" t="s">
        <v>26</v>
      </c>
      <c r="C153" t="s">
        <v>20</v>
      </c>
      <c r="D153" t="s">
        <v>18</v>
      </c>
      <c r="E153" t="s">
        <v>13</v>
      </c>
      <c r="F153">
        <v>9</v>
      </c>
      <c r="G153">
        <v>29687</v>
      </c>
      <c r="H153" s="2">
        <v>45079</v>
      </c>
      <c r="I153">
        <v>267183</v>
      </c>
      <c r="J153">
        <v>5937.4</v>
      </c>
    </row>
    <row r="154" spans="1:10" x14ac:dyDescent="0.25">
      <c r="A154">
        <v>254</v>
      </c>
      <c r="B154" t="s">
        <v>14</v>
      </c>
      <c r="C154" t="s">
        <v>11</v>
      </c>
      <c r="D154" t="s">
        <v>15</v>
      </c>
      <c r="E154" t="s">
        <v>16</v>
      </c>
      <c r="F154">
        <v>6</v>
      </c>
      <c r="G154">
        <v>14737</v>
      </c>
      <c r="H154" s="2">
        <v>45080</v>
      </c>
      <c r="I154">
        <v>88422</v>
      </c>
      <c r="J154">
        <v>2947.4</v>
      </c>
    </row>
    <row r="155" spans="1:10" x14ac:dyDescent="0.25">
      <c r="A155">
        <v>255</v>
      </c>
      <c r="B155" t="s">
        <v>31</v>
      </c>
      <c r="C155" t="s">
        <v>7</v>
      </c>
      <c r="D155" t="s">
        <v>18</v>
      </c>
      <c r="E155" t="s">
        <v>16</v>
      </c>
      <c r="F155">
        <v>2</v>
      </c>
      <c r="G155">
        <v>10323</v>
      </c>
      <c r="H155" s="2">
        <v>45081</v>
      </c>
      <c r="I155">
        <v>20646</v>
      </c>
      <c r="J155">
        <v>2064.6</v>
      </c>
    </row>
    <row r="156" spans="1:10" x14ac:dyDescent="0.25">
      <c r="A156">
        <v>256</v>
      </c>
      <c r="B156" t="s">
        <v>17</v>
      </c>
      <c r="C156" t="s">
        <v>11</v>
      </c>
      <c r="D156" t="s">
        <v>18</v>
      </c>
      <c r="E156" t="s">
        <v>16</v>
      </c>
      <c r="F156">
        <v>7</v>
      </c>
      <c r="G156">
        <v>16229</v>
      </c>
      <c r="H156" s="2">
        <v>45082</v>
      </c>
      <c r="I156">
        <v>113603</v>
      </c>
      <c r="J156">
        <v>3245.8</v>
      </c>
    </row>
    <row r="157" spans="1:10" x14ac:dyDescent="0.25">
      <c r="A157">
        <v>257</v>
      </c>
      <c r="B157" t="s">
        <v>30</v>
      </c>
      <c r="C157" t="s">
        <v>7</v>
      </c>
      <c r="D157" t="s">
        <v>8</v>
      </c>
      <c r="E157" t="s">
        <v>19</v>
      </c>
      <c r="F157">
        <v>2</v>
      </c>
      <c r="G157">
        <v>45481</v>
      </c>
      <c r="H157" s="2">
        <v>45083</v>
      </c>
      <c r="I157">
        <v>90962</v>
      </c>
      <c r="J157">
        <v>9096.2000000000007</v>
      </c>
    </row>
    <row r="158" spans="1:10" x14ac:dyDescent="0.25">
      <c r="A158">
        <v>258</v>
      </c>
      <c r="B158" t="s">
        <v>22</v>
      </c>
      <c r="C158" t="s">
        <v>7</v>
      </c>
      <c r="D158" t="s">
        <v>18</v>
      </c>
      <c r="E158" t="s">
        <v>24</v>
      </c>
      <c r="F158">
        <v>2</v>
      </c>
      <c r="G158">
        <v>9502</v>
      </c>
      <c r="H158" s="2">
        <v>45084</v>
      </c>
      <c r="I158">
        <v>19004</v>
      </c>
      <c r="J158">
        <v>1900.4</v>
      </c>
    </row>
    <row r="159" spans="1:10" x14ac:dyDescent="0.25">
      <c r="A159">
        <v>259</v>
      </c>
      <c r="B159" t="s">
        <v>21</v>
      </c>
      <c r="C159" t="s">
        <v>7</v>
      </c>
      <c r="D159" t="s">
        <v>15</v>
      </c>
      <c r="E159" t="s">
        <v>24</v>
      </c>
      <c r="F159">
        <v>1</v>
      </c>
      <c r="G159">
        <v>1545</v>
      </c>
      <c r="H159" s="2">
        <v>45085</v>
      </c>
      <c r="I159">
        <v>1545</v>
      </c>
      <c r="J159">
        <v>309</v>
      </c>
    </row>
    <row r="160" spans="1:10" x14ac:dyDescent="0.25">
      <c r="A160">
        <v>260</v>
      </c>
      <c r="B160" t="s">
        <v>14</v>
      </c>
      <c r="C160" t="s">
        <v>11</v>
      </c>
      <c r="D160" t="s">
        <v>12</v>
      </c>
      <c r="E160" t="s">
        <v>9</v>
      </c>
      <c r="F160">
        <v>3</v>
      </c>
      <c r="G160">
        <v>38114</v>
      </c>
      <c r="H160" s="2">
        <v>45086</v>
      </c>
      <c r="I160">
        <v>114342</v>
      </c>
      <c r="J160">
        <v>7622.8</v>
      </c>
    </row>
    <row r="161" spans="1:10" x14ac:dyDescent="0.25">
      <c r="A161">
        <v>261</v>
      </c>
      <c r="B161" t="s">
        <v>26</v>
      </c>
      <c r="C161" t="s">
        <v>7</v>
      </c>
      <c r="D161" t="s">
        <v>18</v>
      </c>
      <c r="E161" t="s">
        <v>13</v>
      </c>
      <c r="F161">
        <v>6</v>
      </c>
      <c r="G161">
        <v>30430</v>
      </c>
      <c r="H161" s="2">
        <v>45087</v>
      </c>
      <c r="I161">
        <v>182580</v>
      </c>
      <c r="J161">
        <v>6086</v>
      </c>
    </row>
    <row r="162" spans="1:10" x14ac:dyDescent="0.25">
      <c r="A162">
        <v>262</v>
      </c>
      <c r="B162" t="s">
        <v>14</v>
      </c>
      <c r="C162" t="s">
        <v>23</v>
      </c>
      <c r="D162" t="s">
        <v>8</v>
      </c>
      <c r="E162" t="s">
        <v>16</v>
      </c>
      <c r="F162">
        <v>8</v>
      </c>
      <c r="G162">
        <v>10996</v>
      </c>
      <c r="H162" s="2">
        <v>45088</v>
      </c>
      <c r="I162">
        <v>87968</v>
      </c>
      <c r="J162">
        <v>2199.1999999999998</v>
      </c>
    </row>
    <row r="163" spans="1:10" x14ac:dyDescent="0.25">
      <c r="A163">
        <v>263</v>
      </c>
      <c r="B163" t="s">
        <v>31</v>
      </c>
      <c r="C163" t="s">
        <v>11</v>
      </c>
      <c r="D163" t="s">
        <v>15</v>
      </c>
      <c r="E163" t="s">
        <v>24</v>
      </c>
      <c r="F163">
        <v>9</v>
      </c>
      <c r="G163">
        <v>28788</v>
      </c>
      <c r="H163" s="2">
        <v>45089</v>
      </c>
      <c r="I163">
        <v>259092</v>
      </c>
      <c r="J163">
        <v>5757.6</v>
      </c>
    </row>
    <row r="164" spans="1:10" x14ac:dyDescent="0.25">
      <c r="A164">
        <v>264</v>
      </c>
      <c r="B164" t="s">
        <v>10</v>
      </c>
      <c r="C164" t="s">
        <v>23</v>
      </c>
      <c r="D164" t="s">
        <v>18</v>
      </c>
      <c r="E164" t="s">
        <v>19</v>
      </c>
      <c r="F164">
        <v>7</v>
      </c>
      <c r="G164">
        <v>30969</v>
      </c>
      <c r="H164" s="2">
        <v>45090</v>
      </c>
      <c r="I164">
        <v>216783</v>
      </c>
      <c r="J164">
        <v>6193.8</v>
      </c>
    </row>
    <row r="165" spans="1:10" x14ac:dyDescent="0.25">
      <c r="A165">
        <v>265</v>
      </c>
      <c r="B165" t="s">
        <v>30</v>
      </c>
      <c r="C165" t="s">
        <v>7</v>
      </c>
      <c r="D165" t="s">
        <v>15</v>
      </c>
      <c r="E165" t="s">
        <v>9</v>
      </c>
      <c r="F165">
        <v>4</v>
      </c>
      <c r="G165">
        <v>49543</v>
      </c>
      <c r="H165" s="2">
        <v>45091</v>
      </c>
      <c r="I165">
        <v>198172</v>
      </c>
      <c r="J165">
        <v>9908.6</v>
      </c>
    </row>
    <row r="166" spans="1:10" x14ac:dyDescent="0.25">
      <c r="A166">
        <v>266</v>
      </c>
      <c r="B166" t="s">
        <v>30</v>
      </c>
      <c r="C166" t="s">
        <v>20</v>
      </c>
      <c r="D166" t="s">
        <v>8</v>
      </c>
      <c r="E166" t="s">
        <v>29</v>
      </c>
      <c r="F166">
        <v>6</v>
      </c>
      <c r="G166">
        <v>14919</v>
      </c>
      <c r="H166" s="2">
        <v>45092</v>
      </c>
      <c r="I166">
        <v>89514</v>
      </c>
      <c r="J166">
        <v>2983.8</v>
      </c>
    </row>
    <row r="167" spans="1:10" x14ac:dyDescent="0.25">
      <c r="A167">
        <v>267</v>
      </c>
      <c r="B167" t="s">
        <v>21</v>
      </c>
      <c r="C167" t="s">
        <v>7</v>
      </c>
      <c r="D167" t="s">
        <v>8</v>
      </c>
      <c r="E167" t="s">
        <v>9</v>
      </c>
      <c r="F167">
        <v>5</v>
      </c>
      <c r="G167">
        <v>4810</v>
      </c>
      <c r="H167" s="2">
        <v>45093</v>
      </c>
      <c r="I167">
        <v>24050</v>
      </c>
      <c r="J167">
        <v>962</v>
      </c>
    </row>
    <row r="168" spans="1:10" x14ac:dyDescent="0.25">
      <c r="A168">
        <v>268</v>
      </c>
      <c r="B168" t="s">
        <v>10</v>
      </c>
      <c r="C168" t="s">
        <v>23</v>
      </c>
      <c r="D168" t="s">
        <v>15</v>
      </c>
      <c r="E168" t="s">
        <v>24</v>
      </c>
      <c r="F168">
        <v>8</v>
      </c>
      <c r="G168">
        <v>31586</v>
      </c>
      <c r="H168" s="2">
        <v>45094</v>
      </c>
      <c r="I168">
        <v>252688</v>
      </c>
      <c r="J168">
        <v>6317.2</v>
      </c>
    </row>
    <row r="169" spans="1:10" x14ac:dyDescent="0.25">
      <c r="A169">
        <v>269</v>
      </c>
      <c r="B169" t="s">
        <v>6</v>
      </c>
      <c r="C169" t="s">
        <v>23</v>
      </c>
      <c r="D169" t="s">
        <v>18</v>
      </c>
      <c r="E169" t="s">
        <v>25</v>
      </c>
      <c r="F169">
        <v>1</v>
      </c>
      <c r="G169">
        <v>40974</v>
      </c>
      <c r="H169" s="2">
        <v>45095</v>
      </c>
      <c r="I169">
        <v>40974</v>
      </c>
      <c r="J169">
        <v>8194.7999999999993</v>
      </c>
    </row>
    <row r="170" spans="1:10" x14ac:dyDescent="0.25">
      <c r="A170">
        <v>270</v>
      </c>
      <c r="B170" t="s">
        <v>28</v>
      </c>
      <c r="C170" t="s">
        <v>11</v>
      </c>
      <c r="D170" t="s">
        <v>12</v>
      </c>
      <c r="E170" t="s">
        <v>19</v>
      </c>
      <c r="F170">
        <v>1</v>
      </c>
      <c r="G170">
        <v>42773</v>
      </c>
      <c r="H170" s="2">
        <v>45096</v>
      </c>
      <c r="I170">
        <v>42773</v>
      </c>
      <c r="J170">
        <v>8554.6</v>
      </c>
    </row>
    <row r="171" spans="1:10" x14ac:dyDescent="0.25">
      <c r="A171">
        <v>271</v>
      </c>
      <c r="B171" t="s">
        <v>22</v>
      </c>
      <c r="C171" t="s">
        <v>20</v>
      </c>
      <c r="D171" t="s">
        <v>8</v>
      </c>
      <c r="E171" t="s">
        <v>25</v>
      </c>
      <c r="F171">
        <v>6</v>
      </c>
      <c r="G171">
        <v>17371</v>
      </c>
      <c r="H171" s="2">
        <v>45097</v>
      </c>
      <c r="I171">
        <v>104226</v>
      </c>
      <c r="J171">
        <v>3474.2</v>
      </c>
    </row>
    <row r="172" spans="1:10" x14ac:dyDescent="0.25">
      <c r="A172">
        <v>272</v>
      </c>
      <c r="B172" t="s">
        <v>30</v>
      </c>
      <c r="C172" t="s">
        <v>11</v>
      </c>
      <c r="D172" t="s">
        <v>18</v>
      </c>
      <c r="E172" t="s">
        <v>16</v>
      </c>
      <c r="F172">
        <v>2</v>
      </c>
      <c r="G172">
        <v>46084</v>
      </c>
      <c r="H172" s="2">
        <v>45098</v>
      </c>
      <c r="I172">
        <v>92168</v>
      </c>
      <c r="J172">
        <v>9216.7999999999993</v>
      </c>
    </row>
    <row r="173" spans="1:10" x14ac:dyDescent="0.25">
      <c r="A173">
        <v>273</v>
      </c>
      <c r="B173" t="s">
        <v>17</v>
      </c>
      <c r="C173" t="s">
        <v>23</v>
      </c>
      <c r="D173" t="s">
        <v>18</v>
      </c>
      <c r="E173" t="s">
        <v>25</v>
      </c>
      <c r="F173">
        <v>5</v>
      </c>
      <c r="G173">
        <v>30629</v>
      </c>
      <c r="H173" s="2">
        <v>45099</v>
      </c>
      <c r="I173">
        <v>153145</v>
      </c>
      <c r="J173">
        <v>6125.8</v>
      </c>
    </row>
    <row r="174" spans="1:10" x14ac:dyDescent="0.25">
      <c r="A174">
        <v>274</v>
      </c>
      <c r="B174" t="s">
        <v>30</v>
      </c>
      <c r="C174" t="s">
        <v>7</v>
      </c>
      <c r="D174" t="s">
        <v>12</v>
      </c>
      <c r="E174" t="s">
        <v>16</v>
      </c>
      <c r="F174">
        <v>1</v>
      </c>
      <c r="G174">
        <v>9436</v>
      </c>
      <c r="H174" s="2">
        <v>45100</v>
      </c>
      <c r="I174">
        <v>9436</v>
      </c>
      <c r="J174">
        <v>1887.2</v>
      </c>
    </row>
    <row r="175" spans="1:10" x14ac:dyDescent="0.25">
      <c r="A175">
        <v>275</v>
      </c>
      <c r="B175" t="s">
        <v>14</v>
      </c>
      <c r="C175" t="s">
        <v>20</v>
      </c>
      <c r="D175" t="s">
        <v>8</v>
      </c>
      <c r="E175" t="s">
        <v>16</v>
      </c>
      <c r="F175">
        <v>7</v>
      </c>
      <c r="G175">
        <v>13984</v>
      </c>
      <c r="H175" s="2">
        <v>45101</v>
      </c>
      <c r="I175">
        <v>97888</v>
      </c>
      <c r="J175">
        <v>2796.8</v>
      </c>
    </row>
    <row r="176" spans="1:10" x14ac:dyDescent="0.25">
      <c r="A176">
        <v>276</v>
      </c>
      <c r="B176" t="s">
        <v>30</v>
      </c>
      <c r="C176" t="s">
        <v>7</v>
      </c>
      <c r="D176" t="s">
        <v>8</v>
      </c>
      <c r="E176" t="s">
        <v>24</v>
      </c>
      <c r="F176">
        <v>1</v>
      </c>
      <c r="G176">
        <v>34039</v>
      </c>
      <c r="H176" s="2">
        <v>45102</v>
      </c>
      <c r="I176">
        <v>34039</v>
      </c>
      <c r="J176">
        <v>6807.8</v>
      </c>
    </row>
    <row r="177" spans="1:10" x14ac:dyDescent="0.25">
      <c r="A177">
        <v>277</v>
      </c>
      <c r="B177" t="s">
        <v>30</v>
      </c>
      <c r="C177" t="s">
        <v>7</v>
      </c>
      <c r="D177" t="s">
        <v>18</v>
      </c>
      <c r="E177" t="s">
        <v>25</v>
      </c>
      <c r="F177">
        <v>4</v>
      </c>
      <c r="G177">
        <v>20895</v>
      </c>
      <c r="H177" s="2">
        <v>45103</v>
      </c>
      <c r="I177">
        <v>83580</v>
      </c>
      <c r="J177">
        <v>4179</v>
      </c>
    </row>
    <row r="178" spans="1:10" x14ac:dyDescent="0.25">
      <c r="A178">
        <v>278</v>
      </c>
      <c r="B178" t="s">
        <v>28</v>
      </c>
      <c r="C178" t="s">
        <v>20</v>
      </c>
      <c r="D178" t="s">
        <v>18</v>
      </c>
      <c r="E178" t="s">
        <v>16</v>
      </c>
      <c r="F178">
        <v>9</v>
      </c>
      <c r="G178">
        <v>19155</v>
      </c>
      <c r="H178" s="2">
        <v>45104</v>
      </c>
      <c r="I178">
        <v>172395</v>
      </c>
      <c r="J178">
        <v>3831</v>
      </c>
    </row>
    <row r="179" spans="1:10" x14ac:dyDescent="0.25">
      <c r="A179">
        <v>279</v>
      </c>
      <c r="B179" t="s">
        <v>28</v>
      </c>
      <c r="C179" t="s">
        <v>11</v>
      </c>
      <c r="D179" t="s">
        <v>12</v>
      </c>
      <c r="E179" t="s">
        <v>13</v>
      </c>
      <c r="F179">
        <v>1</v>
      </c>
      <c r="G179">
        <v>11616</v>
      </c>
      <c r="H179" s="2">
        <v>45105</v>
      </c>
      <c r="I179">
        <v>11616</v>
      </c>
      <c r="J179">
        <v>2323.1999999999998</v>
      </c>
    </row>
    <row r="180" spans="1:10" x14ac:dyDescent="0.25">
      <c r="A180">
        <v>280</v>
      </c>
      <c r="B180" t="s">
        <v>26</v>
      </c>
      <c r="C180" t="s">
        <v>7</v>
      </c>
      <c r="D180" t="s">
        <v>12</v>
      </c>
      <c r="E180" t="s">
        <v>29</v>
      </c>
      <c r="F180">
        <v>4</v>
      </c>
      <c r="G180">
        <v>38129</v>
      </c>
      <c r="H180" s="2">
        <v>45106</v>
      </c>
      <c r="I180">
        <v>152516</v>
      </c>
      <c r="J180">
        <v>7625.8</v>
      </c>
    </row>
    <row r="181" spans="1:10" x14ac:dyDescent="0.25">
      <c r="A181">
        <v>281</v>
      </c>
      <c r="B181" t="s">
        <v>6</v>
      </c>
      <c r="C181" t="s">
        <v>23</v>
      </c>
      <c r="D181" t="s">
        <v>8</v>
      </c>
      <c r="E181" t="s">
        <v>9</v>
      </c>
      <c r="F181">
        <v>6</v>
      </c>
      <c r="G181">
        <v>40837</v>
      </c>
      <c r="H181" s="2">
        <v>45107</v>
      </c>
      <c r="I181">
        <v>245022</v>
      </c>
      <c r="J181">
        <v>8167.4</v>
      </c>
    </row>
    <row r="182" spans="1:10" x14ac:dyDescent="0.25">
      <c r="A182">
        <v>282</v>
      </c>
      <c r="B182" t="s">
        <v>17</v>
      </c>
      <c r="C182" t="s">
        <v>7</v>
      </c>
      <c r="D182" t="s">
        <v>15</v>
      </c>
      <c r="E182" t="s">
        <v>9</v>
      </c>
      <c r="F182">
        <v>6</v>
      </c>
      <c r="G182">
        <v>25574</v>
      </c>
      <c r="H182" s="2">
        <v>45108</v>
      </c>
      <c r="I182">
        <v>153444</v>
      </c>
      <c r="J182">
        <v>5114.8</v>
      </c>
    </row>
    <row r="183" spans="1:10" x14ac:dyDescent="0.25">
      <c r="A183">
        <v>283</v>
      </c>
      <c r="B183" t="s">
        <v>30</v>
      </c>
      <c r="C183" t="s">
        <v>20</v>
      </c>
      <c r="D183" t="s">
        <v>8</v>
      </c>
      <c r="E183" t="s">
        <v>24</v>
      </c>
      <c r="F183">
        <v>8</v>
      </c>
      <c r="G183">
        <v>4430</v>
      </c>
      <c r="H183" s="2">
        <v>45109</v>
      </c>
      <c r="I183">
        <v>35440</v>
      </c>
      <c r="J183">
        <v>886</v>
      </c>
    </row>
    <row r="184" spans="1:10" x14ac:dyDescent="0.25">
      <c r="A184">
        <v>284</v>
      </c>
      <c r="B184" t="s">
        <v>30</v>
      </c>
      <c r="C184" t="s">
        <v>20</v>
      </c>
      <c r="D184" t="s">
        <v>18</v>
      </c>
      <c r="E184" t="s">
        <v>25</v>
      </c>
      <c r="F184">
        <v>1</v>
      </c>
      <c r="G184">
        <v>13676</v>
      </c>
      <c r="H184" s="2">
        <v>45110</v>
      </c>
      <c r="I184">
        <v>13676</v>
      </c>
      <c r="J184">
        <v>2735.2</v>
      </c>
    </row>
    <row r="185" spans="1:10" x14ac:dyDescent="0.25">
      <c r="A185">
        <v>285</v>
      </c>
      <c r="B185" t="s">
        <v>22</v>
      </c>
      <c r="C185" t="s">
        <v>20</v>
      </c>
      <c r="D185" t="s">
        <v>8</v>
      </c>
      <c r="E185" t="s">
        <v>25</v>
      </c>
      <c r="F185">
        <v>7</v>
      </c>
      <c r="G185">
        <v>11816</v>
      </c>
      <c r="H185" s="2">
        <v>45111</v>
      </c>
      <c r="I185">
        <v>82712</v>
      </c>
      <c r="J185">
        <v>2363.1999999999998</v>
      </c>
    </row>
    <row r="186" spans="1:10" x14ac:dyDescent="0.25">
      <c r="A186">
        <v>286</v>
      </c>
      <c r="B186" t="s">
        <v>28</v>
      </c>
      <c r="C186" t="s">
        <v>11</v>
      </c>
      <c r="D186" t="s">
        <v>15</v>
      </c>
      <c r="E186" t="s">
        <v>16</v>
      </c>
      <c r="F186">
        <v>1</v>
      </c>
      <c r="G186">
        <v>33733</v>
      </c>
      <c r="H186" s="2">
        <v>45112</v>
      </c>
      <c r="I186">
        <v>33733</v>
      </c>
      <c r="J186">
        <v>6746.6</v>
      </c>
    </row>
    <row r="187" spans="1:10" x14ac:dyDescent="0.25">
      <c r="A187">
        <v>287</v>
      </c>
      <c r="B187" t="s">
        <v>17</v>
      </c>
      <c r="C187" t="s">
        <v>7</v>
      </c>
      <c r="D187" t="s">
        <v>12</v>
      </c>
      <c r="E187" t="s">
        <v>19</v>
      </c>
      <c r="F187">
        <v>7</v>
      </c>
      <c r="G187">
        <v>21144</v>
      </c>
      <c r="H187" s="2">
        <v>45113</v>
      </c>
      <c r="I187">
        <v>148008</v>
      </c>
      <c r="J187">
        <v>4228.8</v>
      </c>
    </row>
    <row r="188" spans="1:10" x14ac:dyDescent="0.25">
      <c r="A188">
        <v>288</v>
      </c>
      <c r="B188" t="s">
        <v>21</v>
      </c>
      <c r="C188" t="s">
        <v>11</v>
      </c>
      <c r="D188" t="s">
        <v>15</v>
      </c>
      <c r="E188" t="s">
        <v>27</v>
      </c>
      <c r="F188">
        <v>3</v>
      </c>
      <c r="G188">
        <v>3050</v>
      </c>
      <c r="H188" s="2">
        <v>45114</v>
      </c>
      <c r="I188">
        <v>9150</v>
      </c>
      <c r="J188">
        <v>610</v>
      </c>
    </row>
    <row r="189" spans="1:10" x14ac:dyDescent="0.25">
      <c r="A189">
        <v>289</v>
      </c>
      <c r="B189" t="s">
        <v>26</v>
      </c>
      <c r="C189" t="s">
        <v>11</v>
      </c>
      <c r="D189" t="s">
        <v>15</v>
      </c>
      <c r="E189" t="s">
        <v>16</v>
      </c>
      <c r="F189">
        <v>8</v>
      </c>
      <c r="G189">
        <v>45460</v>
      </c>
      <c r="H189" s="2">
        <v>45115</v>
      </c>
      <c r="I189">
        <v>363680</v>
      </c>
      <c r="J189">
        <v>9092</v>
      </c>
    </row>
    <row r="190" spans="1:10" x14ac:dyDescent="0.25">
      <c r="A190">
        <v>290</v>
      </c>
      <c r="B190" t="s">
        <v>6</v>
      </c>
      <c r="C190" t="s">
        <v>20</v>
      </c>
      <c r="D190" t="s">
        <v>15</v>
      </c>
      <c r="E190" t="s">
        <v>29</v>
      </c>
      <c r="F190">
        <v>3</v>
      </c>
      <c r="G190">
        <v>34933</v>
      </c>
      <c r="H190" s="2">
        <v>45116</v>
      </c>
      <c r="I190">
        <v>104799</v>
      </c>
      <c r="J190">
        <v>6986.6</v>
      </c>
    </row>
    <row r="191" spans="1:10" x14ac:dyDescent="0.25">
      <c r="A191">
        <v>291</v>
      </c>
      <c r="B191" t="s">
        <v>10</v>
      </c>
      <c r="C191" t="s">
        <v>20</v>
      </c>
      <c r="D191" t="s">
        <v>12</v>
      </c>
      <c r="E191" t="s">
        <v>13</v>
      </c>
      <c r="F191">
        <v>1</v>
      </c>
      <c r="G191">
        <v>25951</v>
      </c>
      <c r="H191" s="2">
        <v>45117</v>
      </c>
      <c r="I191">
        <v>25951</v>
      </c>
      <c r="J191">
        <v>5190.2</v>
      </c>
    </row>
    <row r="192" spans="1:10" x14ac:dyDescent="0.25">
      <c r="A192">
        <v>292</v>
      </c>
      <c r="B192" t="s">
        <v>6</v>
      </c>
      <c r="C192" t="s">
        <v>11</v>
      </c>
      <c r="D192" t="s">
        <v>15</v>
      </c>
      <c r="E192" t="s">
        <v>9</v>
      </c>
      <c r="F192">
        <v>8</v>
      </c>
      <c r="G192">
        <v>33413</v>
      </c>
      <c r="H192" s="2">
        <v>45118</v>
      </c>
      <c r="I192">
        <v>267304</v>
      </c>
      <c r="J192">
        <v>6682.6</v>
      </c>
    </row>
    <row r="193" spans="1:10" x14ac:dyDescent="0.25">
      <c r="A193">
        <v>293</v>
      </c>
      <c r="B193" t="s">
        <v>14</v>
      </c>
      <c r="C193" t="s">
        <v>7</v>
      </c>
      <c r="D193" t="s">
        <v>15</v>
      </c>
      <c r="E193" t="s">
        <v>16</v>
      </c>
      <c r="F193">
        <v>3</v>
      </c>
      <c r="G193">
        <v>35801</v>
      </c>
      <c r="H193" s="2">
        <v>45119</v>
      </c>
      <c r="I193">
        <v>107403</v>
      </c>
      <c r="J193">
        <v>7160.2</v>
      </c>
    </row>
    <row r="194" spans="1:10" x14ac:dyDescent="0.25">
      <c r="A194">
        <v>294</v>
      </c>
      <c r="B194" t="s">
        <v>30</v>
      </c>
      <c r="C194" t="s">
        <v>23</v>
      </c>
      <c r="D194" t="s">
        <v>15</v>
      </c>
      <c r="E194" t="s">
        <v>27</v>
      </c>
      <c r="F194">
        <v>2</v>
      </c>
      <c r="G194">
        <v>33913</v>
      </c>
      <c r="H194" s="2">
        <v>45120</v>
      </c>
      <c r="I194">
        <v>67826</v>
      </c>
      <c r="J194">
        <v>6782.6</v>
      </c>
    </row>
    <row r="195" spans="1:10" x14ac:dyDescent="0.25">
      <c r="A195">
        <v>295</v>
      </c>
      <c r="B195" t="s">
        <v>26</v>
      </c>
      <c r="C195" t="s">
        <v>11</v>
      </c>
      <c r="D195" t="s">
        <v>18</v>
      </c>
      <c r="E195" t="s">
        <v>27</v>
      </c>
      <c r="F195">
        <v>1</v>
      </c>
      <c r="G195">
        <v>48037</v>
      </c>
      <c r="H195" s="2">
        <v>45121</v>
      </c>
      <c r="I195">
        <v>48037</v>
      </c>
      <c r="J195">
        <v>9607.4</v>
      </c>
    </row>
    <row r="196" spans="1:10" x14ac:dyDescent="0.25">
      <c r="A196">
        <v>296</v>
      </c>
      <c r="B196" t="s">
        <v>14</v>
      </c>
      <c r="C196" t="s">
        <v>7</v>
      </c>
      <c r="D196" t="s">
        <v>15</v>
      </c>
      <c r="E196" t="s">
        <v>16</v>
      </c>
      <c r="F196">
        <v>3</v>
      </c>
      <c r="G196">
        <v>41600</v>
      </c>
      <c r="H196" s="2">
        <v>45122</v>
      </c>
      <c r="I196">
        <v>124800</v>
      </c>
      <c r="J196">
        <v>8320</v>
      </c>
    </row>
    <row r="197" spans="1:10" x14ac:dyDescent="0.25">
      <c r="A197">
        <v>297</v>
      </c>
      <c r="B197" t="s">
        <v>17</v>
      </c>
      <c r="C197" t="s">
        <v>20</v>
      </c>
      <c r="D197" t="s">
        <v>12</v>
      </c>
      <c r="E197" t="s">
        <v>24</v>
      </c>
      <c r="F197">
        <v>2</v>
      </c>
      <c r="G197">
        <v>26280</v>
      </c>
      <c r="H197" s="2">
        <v>45123</v>
      </c>
      <c r="I197">
        <v>52560</v>
      </c>
      <c r="J197">
        <v>5256</v>
      </c>
    </row>
    <row r="198" spans="1:10" x14ac:dyDescent="0.25">
      <c r="A198">
        <v>298</v>
      </c>
      <c r="B198" t="s">
        <v>10</v>
      </c>
      <c r="C198" t="s">
        <v>20</v>
      </c>
      <c r="D198" t="s">
        <v>15</v>
      </c>
      <c r="E198" t="s">
        <v>9</v>
      </c>
      <c r="F198">
        <v>2</v>
      </c>
      <c r="G198">
        <v>25557</v>
      </c>
      <c r="H198" s="2">
        <v>45124</v>
      </c>
      <c r="I198">
        <v>51114</v>
      </c>
      <c r="J198">
        <v>5111.3999999999996</v>
      </c>
    </row>
    <row r="199" spans="1:10" x14ac:dyDescent="0.25">
      <c r="A199">
        <v>299</v>
      </c>
      <c r="B199" t="s">
        <v>28</v>
      </c>
      <c r="C199" t="s">
        <v>7</v>
      </c>
      <c r="D199" t="s">
        <v>15</v>
      </c>
      <c r="E199" t="s">
        <v>24</v>
      </c>
      <c r="F199">
        <v>6</v>
      </c>
      <c r="G199">
        <v>48054</v>
      </c>
      <c r="H199" s="2">
        <v>45125</v>
      </c>
      <c r="I199">
        <v>288324</v>
      </c>
      <c r="J199">
        <v>9610.7999999999993</v>
      </c>
    </row>
    <row r="200" spans="1:10" x14ac:dyDescent="0.25">
      <c r="A200">
        <v>300</v>
      </c>
      <c r="B200" t="s">
        <v>26</v>
      </c>
      <c r="C200" t="s">
        <v>23</v>
      </c>
      <c r="D200" t="s">
        <v>12</v>
      </c>
      <c r="E200" t="s">
        <v>13</v>
      </c>
      <c r="F200">
        <v>1</v>
      </c>
      <c r="G200">
        <v>36400</v>
      </c>
      <c r="H200" s="2">
        <v>45126</v>
      </c>
      <c r="I200">
        <v>36400</v>
      </c>
      <c r="J200">
        <v>7280</v>
      </c>
    </row>
    <row r="201" spans="1:10" x14ac:dyDescent="0.25">
      <c r="A201">
        <v>301</v>
      </c>
      <c r="B201" t="s">
        <v>26</v>
      </c>
      <c r="C201" t="s">
        <v>20</v>
      </c>
      <c r="D201" t="s">
        <v>15</v>
      </c>
      <c r="E201" t="s">
        <v>27</v>
      </c>
      <c r="F201">
        <v>2</v>
      </c>
      <c r="G201">
        <v>5494</v>
      </c>
      <c r="H201" s="2">
        <v>45127</v>
      </c>
      <c r="I201">
        <v>10988</v>
      </c>
      <c r="J201">
        <v>1098.8</v>
      </c>
    </row>
    <row r="202" spans="1:10" x14ac:dyDescent="0.25">
      <c r="A202">
        <v>302</v>
      </c>
      <c r="B202" t="s">
        <v>30</v>
      </c>
      <c r="C202" t="s">
        <v>20</v>
      </c>
      <c r="D202" t="s">
        <v>12</v>
      </c>
      <c r="E202" t="s">
        <v>27</v>
      </c>
      <c r="F202">
        <v>6</v>
      </c>
      <c r="G202">
        <v>16152</v>
      </c>
      <c r="H202" s="2">
        <v>45128</v>
      </c>
      <c r="I202">
        <v>96912</v>
      </c>
      <c r="J202">
        <v>3230.4</v>
      </c>
    </row>
    <row r="203" spans="1:10" x14ac:dyDescent="0.25">
      <c r="A203">
        <v>303</v>
      </c>
      <c r="B203" t="s">
        <v>31</v>
      </c>
      <c r="C203" t="s">
        <v>20</v>
      </c>
      <c r="D203" t="s">
        <v>15</v>
      </c>
      <c r="E203" t="s">
        <v>29</v>
      </c>
      <c r="F203">
        <v>3</v>
      </c>
      <c r="G203">
        <v>24895</v>
      </c>
      <c r="H203" s="2">
        <v>45129</v>
      </c>
      <c r="I203">
        <v>74685</v>
      </c>
      <c r="J203">
        <v>4979</v>
      </c>
    </row>
    <row r="204" spans="1:10" x14ac:dyDescent="0.25">
      <c r="A204">
        <v>304</v>
      </c>
      <c r="B204" t="s">
        <v>26</v>
      </c>
      <c r="C204" t="s">
        <v>7</v>
      </c>
      <c r="D204" t="s">
        <v>12</v>
      </c>
      <c r="E204" t="s">
        <v>13</v>
      </c>
      <c r="F204">
        <v>4</v>
      </c>
      <c r="G204">
        <v>10155</v>
      </c>
      <c r="H204" s="2">
        <v>45130</v>
      </c>
      <c r="I204">
        <v>40620</v>
      </c>
      <c r="J204">
        <v>2031</v>
      </c>
    </row>
    <row r="205" spans="1:10" x14ac:dyDescent="0.25">
      <c r="A205">
        <v>305</v>
      </c>
      <c r="B205" t="s">
        <v>22</v>
      </c>
      <c r="C205" t="s">
        <v>11</v>
      </c>
      <c r="D205" t="s">
        <v>15</v>
      </c>
      <c r="E205" t="s">
        <v>27</v>
      </c>
      <c r="F205">
        <v>1</v>
      </c>
      <c r="G205">
        <v>32883</v>
      </c>
      <c r="H205" s="2">
        <v>45131</v>
      </c>
      <c r="I205">
        <v>32883</v>
      </c>
      <c r="J205">
        <v>6576.6</v>
      </c>
    </row>
    <row r="206" spans="1:10" x14ac:dyDescent="0.25">
      <c r="A206">
        <v>306</v>
      </c>
      <c r="B206" t="s">
        <v>10</v>
      </c>
      <c r="C206" t="s">
        <v>20</v>
      </c>
      <c r="D206" t="s">
        <v>15</v>
      </c>
      <c r="E206" t="s">
        <v>13</v>
      </c>
      <c r="F206">
        <v>8</v>
      </c>
      <c r="G206">
        <v>44194</v>
      </c>
      <c r="H206" s="2">
        <v>45132</v>
      </c>
      <c r="I206">
        <v>353552</v>
      </c>
      <c r="J206">
        <v>8838.7999999999993</v>
      </c>
    </row>
    <row r="207" spans="1:10" x14ac:dyDescent="0.25">
      <c r="A207">
        <v>307</v>
      </c>
      <c r="B207" t="s">
        <v>10</v>
      </c>
      <c r="C207" t="s">
        <v>11</v>
      </c>
      <c r="D207" t="s">
        <v>18</v>
      </c>
      <c r="E207" t="s">
        <v>9</v>
      </c>
      <c r="F207">
        <v>7</v>
      </c>
      <c r="G207">
        <v>44001</v>
      </c>
      <c r="H207" s="2">
        <v>45133</v>
      </c>
      <c r="I207">
        <v>308007</v>
      </c>
      <c r="J207">
        <v>8800.2000000000007</v>
      </c>
    </row>
    <row r="208" spans="1:10" x14ac:dyDescent="0.25">
      <c r="A208">
        <v>308</v>
      </c>
      <c r="B208" t="s">
        <v>22</v>
      </c>
      <c r="C208" t="s">
        <v>23</v>
      </c>
      <c r="D208" t="s">
        <v>18</v>
      </c>
      <c r="E208" t="s">
        <v>25</v>
      </c>
      <c r="F208">
        <v>7</v>
      </c>
      <c r="G208">
        <v>2828</v>
      </c>
      <c r="H208" s="2">
        <v>45134</v>
      </c>
      <c r="I208">
        <v>19796</v>
      </c>
      <c r="J208">
        <v>565.6</v>
      </c>
    </row>
    <row r="209" spans="1:10" x14ac:dyDescent="0.25">
      <c r="A209">
        <v>309</v>
      </c>
      <c r="B209" t="s">
        <v>21</v>
      </c>
      <c r="C209" t="s">
        <v>20</v>
      </c>
      <c r="D209" t="s">
        <v>15</v>
      </c>
      <c r="E209" t="s">
        <v>27</v>
      </c>
      <c r="F209">
        <v>3</v>
      </c>
      <c r="G209">
        <v>46028</v>
      </c>
      <c r="H209" s="2">
        <v>45135</v>
      </c>
      <c r="I209">
        <v>138084</v>
      </c>
      <c r="J209">
        <v>9205.6</v>
      </c>
    </row>
    <row r="210" spans="1:10" x14ac:dyDescent="0.25">
      <c r="A210">
        <v>310</v>
      </c>
      <c r="B210" t="s">
        <v>22</v>
      </c>
      <c r="C210" t="s">
        <v>20</v>
      </c>
      <c r="D210" t="s">
        <v>15</v>
      </c>
      <c r="E210" t="s">
        <v>29</v>
      </c>
      <c r="F210">
        <v>3</v>
      </c>
      <c r="G210">
        <v>42898</v>
      </c>
      <c r="H210" s="2">
        <v>45136</v>
      </c>
      <c r="I210">
        <v>128694</v>
      </c>
      <c r="J210">
        <v>8579.6</v>
      </c>
    </row>
    <row r="211" spans="1:10" x14ac:dyDescent="0.25">
      <c r="A211">
        <v>311</v>
      </c>
      <c r="B211" t="s">
        <v>22</v>
      </c>
      <c r="C211" t="s">
        <v>23</v>
      </c>
      <c r="D211" t="s">
        <v>8</v>
      </c>
      <c r="E211" t="s">
        <v>9</v>
      </c>
      <c r="F211">
        <v>2</v>
      </c>
      <c r="G211">
        <v>33123</v>
      </c>
      <c r="H211" s="2">
        <v>45137</v>
      </c>
      <c r="I211">
        <v>66246</v>
      </c>
      <c r="J211">
        <v>6624.6</v>
      </c>
    </row>
    <row r="212" spans="1:10" x14ac:dyDescent="0.25">
      <c r="A212">
        <v>312</v>
      </c>
      <c r="B212" t="s">
        <v>10</v>
      </c>
      <c r="C212" t="s">
        <v>20</v>
      </c>
      <c r="D212" t="s">
        <v>12</v>
      </c>
      <c r="E212" t="s">
        <v>16</v>
      </c>
      <c r="F212">
        <v>1</v>
      </c>
      <c r="G212">
        <v>38573</v>
      </c>
      <c r="H212" s="2">
        <v>45138</v>
      </c>
      <c r="I212">
        <v>38573</v>
      </c>
      <c r="J212">
        <v>7714.6</v>
      </c>
    </row>
    <row r="213" spans="1:10" x14ac:dyDescent="0.25">
      <c r="A213">
        <v>313</v>
      </c>
      <c r="B213" t="s">
        <v>6</v>
      </c>
      <c r="C213" t="s">
        <v>11</v>
      </c>
      <c r="D213" t="s">
        <v>8</v>
      </c>
      <c r="E213" t="s">
        <v>13</v>
      </c>
      <c r="F213">
        <v>7</v>
      </c>
      <c r="G213">
        <v>1806</v>
      </c>
      <c r="H213" s="2">
        <v>45139</v>
      </c>
      <c r="I213">
        <v>12642</v>
      </c>
      <c r="J213">
        <v>361.2</v>
      </c>
    </row>
    <row r="214" spans="1:10" x14ac:dyDescent="0.25">
      <c r="A214">
        <v>314</v>
      </c>
      <c r="B214" t="s">
        <v>10</v>
      </c>
      <c r="C214" t="s">
        <v>7</v>
      </c>
      <c r="D214" t="s">
        <v>18</v>
      </c>
      <c r="E214" t="s">
        <v>16</v>
      </c>
      <c r="F214">
        <v>7</v>
      </c>
      <c r="G214">
        <v>41970</v>
      </c>
      <c r="H214" s="2">
        <v>45140</v>
      </c>
      <c r="I214">
        <v>293790</v>
      </c>
      <c r="J214">
        <v>8394</v>
      </c>
    </row>
    <row r="215" spans="1:10" x14ac:dyDescent="0.25">
      <c r="A215">
        <v>315</v>
      </c>
      <c r="B215" t="s">
        <v>31</v>
      </c>
      <c r="C215" t="s">
        <v>11</v>
      </c>
      <c r="D215" t="s">
        <v>18</v>
      </c>
      <c r="E215" t="s">
        <v>24</v>
      </c>
      <c r="F215">
        <v>2</v>
      </c>
      <c r="G215">
        <v>30757</v>
      </c>
      <c r="H215" s="2">
        <v>45141</v>
      </c>
      <c r="I215">
        <v>61514</v>
      </c>
      <c r="J215">
        <v>6151.4</v>
      </c>
    </row>
    <row r="216" spans="1:10" x14ac:dyDescent="0.25">
      <c r="A216">
        <v>316</v>
      </c>
      <c r="B216" t="s">
        <v>30</v>
      </c>
      <c r="C216" t="s">
        <v>7</v>
      </c>
      <c r="D216" t="s">
        <v>18</v>
      </c>
      <c r="E216" t="s">
        <v>9</v>
      </c>
      <c r="F216">
        <v>7</v>
      </c>
      <c r="G216">
        <v>35636</v>
      </c>
      <c r="H216" s="2">
        <v>45142</v>
      </c>
      <c r="I216">
        <v>249452</v>
      </c>
      <c r="J216">
        <v>7127.2</v>
      </c>
    </row>
    <row r="217" spans="1:10" x14ac:dyDescent="0.25">
      <c r="A217">
        <v>317</v>
      </c>
      <c r="B217" t="s">
        <v>14</v>
      </c>
      <c r="C217" t="s">
        <v>7</v>
      </c>
      <c r="D217" t="s">
        <v>18</v>
      </c>
      <c r="E217" t="s">
        <v>16</v>
      </c>
      <c r="F217">
        <v>8</v>
      </c>
      <c r="G217">
        <v>15561</v>
      </c>
      <c r="H217" s="2">
        <v>45143</v>
      </c>
      <c r="I217">
        <v>124488</v>
      </c>
      <c r="J217">
        <v>3112.2</v>
      </c>
    </row>
    <row r="218" spans="1:10" x14ac:dyDescent="0.25">
      <c r="A218">
        <v>318</v>
      </c>
      <c r="B218" t="s">
        <v>6</v>
      </c>
      <c r="C218" t="s">
        <v>11</v>
      </c>
      <c r="D218" t="s">
        <v>15</v>
      </c>
      <c r="E218" t="s">
        <v>19</v>
      </c>
      <c r="F218">
        <v>1</v>
      </c>
      <c r="G218">
        <v>49280</v>
      </c>
      <c r="H218" s="2">
        <v>45144</v>
      </c>
      <c r="I218">
        <v>49280</v>
      </c>
      <c r="J218">
        <v>9856</v>
      </c>
    </row>
    <row r="219" spans="1:10" x14ac:dyDescent="0.25">
      <c r="A219">
        <v>319</v>
      </c>
      <c r="B219" t="s">
        <v>28</v>
      </c>
      <c r="C219" t="s">
        <v>11</v>
      </c>
      <c r="D219" t="s">
        <v>18</v>
      </c>
      <c r="E219" t="s">
        <v>19</v>
      </c>
      <c r="F219">
        <v>9</v>
      </c>
      <c r="G219">
        <v>25262</v>
      </c>
      <c r="H219" s="2">
        <v>45145</v>
      </c>
      <c r="I219">
        <v>227358</v>
      </c>
      <c r="J219">
        <v>5052.3999999999996</v>
      </c>
    </row>
    <row r="220" spans="1:10" x14ac:dyDescent="0.25">
      <c r="A220">
        <v>320</v>
      </c>
      <c r="B220" t="s">
        <v>14</v>
      </c>
      <c r="C220" t="s">
        <v>11</v>
      </c>
      <c r="D220" t="s">
        <v>15</v>
      </c>
      <c r="E220" t="s">
        <v>27</v>
      </c>
      <c r="F220">
        <v>7</v>
      </c>
      <c r="G220">
        <v>15899</v>
      </c>
      <c r="H220" s="2">
        <v>45146</v>
      </c>
      <c r="I220">
        <v>111293</v>
      </c>
      <c r="J220">
        <v>3179.8</v>
      </c>
    </row>
    <row r="221" spans="1:10" x14ac:dyDescent="0.25">
      <c r="A221">
        <v>321</v>
      </c>
      <c r="B221" t="s">
        <v>30</v>
      </c>
      <c r="C221" t="s">
        <v>11</v>
      </c>
      <c r="D221" t="s">
        <v>15</v>
      </c>
      <c r="E221" t="s">
        <v>13</v>
      </c>
      <c r="F221">
        <v>3</v>
      </c>
      <c r="G221">
        <v>49988</v>
      </c>
      <c r="H221" s="2">
        <v>45147</v>
      </c>
      <c r="I221">
        <v>149964</v>
      </c>
      <c r="J221">
        <v>9997.6</v>
      </c>
    </row>
    <row r="222" spans="1:10" x14ac:dyDescent="0.25">
      <c r="A222">
        <v>322</v>
      </c>
      <c r="B222" t="s">
        <v>31</v>
      </c>
      <c r="C222" t="s">
        <v>23</v>
      </c>
      <c r="D222" t="s">
        <v>18</v>
      </c>
      <c r="E222" t="s">
        <v>25</v>
      </c>
      <c r="F222">
        <v>8</v>
      </c>
      <c r="G222">
        <v>16934</v>
      </c>
      <c r="H222" s="2">
        <v>45148</v>
      </c>
      <c r="I222">
        <v>135472</v>
      </c>
      <c r="J222">
        <v>3386.8</v>
      </c>
    </row>
    <row r="223" spans="1:10" x14ac:dyDescent="0.25">
      <c r="A223">
        <v>323</v>
      </c>
      <c r="B223" t="s">
        <v>31</v>
      </c>
      <c r="C223" t="s">
        <v>20</v>
      </c>
      <c r="D223" t="s">
        <v>18</v>
      </c>
      <c r="E223" t="s">
        <v>9</v>
      </c>
      <c r="F223">
        <v>7</v>
      </c>
      <c r="G223">
        <v>39197</v>
      </c>
      <c r="H223" s="2">
        <v>45149</v>
      </c>
      <c r="I223">
        <v>274379</v>
      </c>
      <c r="J223">
        <v>7839.4</v>
      </c>
    </row>
    <row r="224" spans="1:10" x14ac:dyDescent="0.25">
      <c r="A224">
        <v>324</v>
      </c>
      <c r="B224" t="s">
        <v>28</v>
      </c>
      <c r="C224" t="s">
        <v>7</v>
      </c>
      <c r="D224" t="s">
        <v>12</v>
      </c>
      <c r="E224" t="s">
        <v>27</v>
      </c>
      <c r="F224">
        <v>8</v>
      </c>
      <c r="G224">
        <v>42844</v>
      </c>
      <c r="H224" s="2">
        <v>45150</v>
      </c>
      <c r="I224">
        <v>342752</v>
      </c>
      <c r="J224">
        <v>8568.7999999999993</v>
      </c>
    </row>
    <row r="225" spans="1:10" x14ac:dyDescent="0.25">
      <c r="A225">
        <v>325</v>
      </c>
      <c r="B225" t="s">
        <v>6</v>
      </c>
      <c r="C225" t="s">
        <v>11</v>
      </c>
      <c r="D225" t="s">
        <v>8</v>
      </c>
      <c r="E225" t="s">
        <v>29</v>
      </c>
      <c r="F225">
        <v>6</v>
      </c>
      <c r="G225">
        <v>37332</v>
      </c>
      <c r="H225" s="2">
        <v>45151</v>
      </c>
      <c r="I225">
        <v>223992</v>
      </c>
      <c r="J225">
        <v>7466.4</v>
      </c>
    </row>
    <row r="226" spans="1:10" x14ac:dyDescent="0.25">
      <c r="A226">
        <v>326</v>
      </c>
      <c r="B226" t="s">
        <v>21</v>
      </c>
      <c r="C226" t="s">
        <v>11</v>
      </c>
      <c r="D226" t="s">
        <v>18</v>
      </c>
      <c r="E226" t="s">
        <v>24</v>
      </c>
      <c r="F226">
        <v>9</v>
      </c>
      <c r="G226">
        <v>35157</v>
      </c>
      <c r="H226" s="2">
        <v>45152</v>
      </c>
      <c r="I226">
        <v>316413</v>
      </c>
      <c r="J226">
        <v>7031.4</v>
      </c>
    </row>
    <row r="227" spans="1:10" x14ac:dyDescent="0.25">
      <c r="A227">
        <v>327</v>
      </c>
      <c r="B227" t="s">
        <v>22</v>
      </c>
      <c r="C227" t="s">
        <v>11</v>
      </c>
      <c r="D227" t="s">
        <v>12</v>
      </c>
      <c r="E227" t="s">
        <v>13</v>
      </c>
      <c r="F227">
        <v>5</v>
      </c>
      <c r="G227">
        <v>12593</v>
      </c>
      <c r="H227" s="2">
        <v>45153</v>
      </c>
      <c r="I227">
        <v>62965</v>
      </c>
      <c r="J227">
        <v>2518.6</v>
      </c>
    </row>
    <row r="228" spans="1:10" x14ac:dyDescent="0.25">
      <c r="A228">
        <v>328</v>
      </c>
      <c r="B228" t="s">
        <v>6</v>
      </c>
      <c r="C228" t="s">
        <v>23</v>
      </c>
      <c r="D228" t="s">
        <v>12</v>
      </c>
      <c r="E228" t="s">
        <v>9</v>
      </c>
      <c r="F228">
        <v>3</v>
      </c>
      <c r="G228">
        <v>41042</v>
      </c>
      <c r="H228" s="2">
        <v>45154</v>
      </c>
      <c r="I228">
        <v>123126</v>
      </c>
      <c r="J228">
        <v>8208.4</v>
      </c>
    </row>
    <row r="229" spans="1:10" x14ac:dyDescent="0.25">
      <c r="A229">
        <v>329</v>
      </c>
      <c r="B229" t="s">
        <v>21</v>
      </c>
      <c r="C229" t="s">
        <v>11</v>
      </c>
      <c r="D229" t="s">
        <v>8</v>
      </c>
      <c r="E229" t="s">
        <v>19</v>
      </c>
      <c r="F229">
        <v>3</v>
      </c>
      <c r="G229">
        <v>18320</v>
      </c>
      <c r="H229" s="2">
        <v>45155</v>
      </c>
      <c r="I229">
        <v>54960</v>
      </c>
      <c r="J229">
        <v>3664</v>
      </c>
    </row>
    <row r="230" spans="1:10" x14ac:dyDescent="0.25">
      <c r="A230">
        <v>330</v>
      </c>
      <c r="B230" t="s">
        <v>31</v>
      </c>
      <c r="C230" t="s">
        <v>11</v>
      </c>
      <c r="D230" t="s">
        <v>15</v>
      </c>
      <c r="E230" t="s">
        <v>9</v>
      </c>
      <c r="F230">
        <v>1</v>
      </c>
      <c r="G230">
        <v>28376</v>
      </c>
      <c r="H230" s="2">
        <v>45156</v>
      </c>
      <c r="I230">
        <v>28376</v>
      </c>
      <c r="J230">
        <v>5675.2</v>
      </c>
    </row>
    <row r="231" spans="1:10" x14ac:dyDescent="0.25">
      <c r="A231">
        <v>331</v>
      </c>
      <c r="B231" t="s">
        <v>10</v>
      </c>
      <c r="C231" t="s">
        <v>11</v>
      </c>
      <c r="D231" t="s">
        <v>18</v>
      </c>
      <c r="E231" t="s">
        <v>25</v>
      </c>
      <c r="F231">
        <v>8</v>
      </c>
      <c r="G231">
        <v>44513</v>
      </c>
      <c r="H231" s="2">
        <v>45157</v>
      </c>
      <c r="I231">
        <v>356104</v>
      </c>
      <c r="J231">
        <v>8902.6</v>
      </c>
    </row>
    <row r="232" spans="1:10" x14ac:dyDescent="0.25">
      <c r="A232">
        <v>332</v>
      </c>
      <c r="B232" t="s">
        <v>30</v>
      </c>
      <c r="C232" t="s">
        <v>20</v>
      </c>
      <c r="D232" t="s">
        <v>8</v>
      </c>
      <c r="E232" t="s">
        <v>19</v>
      </c>
      <c r="F232">
        <v>2</v>
      </c>
      <c r="G232">
        <v>15199</v>
      </c>
      <c r="H232" s="2">
        <v>45158</v>
      </c>
      <c r="I232">
        <v>30398</v>
      </c>
      <c r="J232">
        <v>3039.8</v>
      </c>
    </row>
    <row r="233" spans="1:10" x14ac:dyDescent="0.25">
      <c r="A233">
        <v>333</v>
      </c>
      <c r="B233" t="s">
        <v>28</v>
      </c>
      <c r="C233" t="s">
        <v>23</v>
      </c>
      <c r="D233" t="s">
        <v>18</v>
      </c>
      <c r="E233" t="s">
        <v>25</v>
      </c>
      <c r="F233">
        <v>3</v>
      </c>
      <c r="G233">
        <v>16876</v>
      </c>
      <c r="H233" s="2">
        <v>45159</v>
      </c>
      <c r="I233">
        <v>50628</v>
      </c>
      <c r="J233">
        <v>3375.2</v>
      </c>
    </row>
    <row r="234" spans="1:10" x14ac:dyDescent="0.25">
      <c r="A234">
        <v>334</v>
      </c>
      <c r="B234" t="s">
        <v>30</v>
      </c>
      <c r="C234" t="s">
        <v>11</v>
      </c>
      <c r="D234" t="s">
        <v>12</v>
      </c>
      <c r="E234" t="s">
        <v>29</v>
      </c>
      <c r="F234">
        <v>8</v>
      </c>
      <c r="G234">
        <v>9245</v>
      </c>
      <c r="H234" s="2">
        <v>45160</v>
      </c>
      <c r="I234">
        <v>73960</v>
      </c>
      <c r="J234">
        <v>1849</v>
      </c>
    </row>
    <row r="235" spans="1:10" x14ac:dyDescent="0.25">
      <c r="A235">
        <v>335</v>
      </c>
      <c r="B235" t="s">
        <v>17</v>
      </c>
      <c r="C235" t="s">
        <v>7</v>
      </c>
      <c r="D235" t="s">
        <v>12</v>
      </c>
      <c r="E235" t="s">
        <v>24</v>
      </c>
      <c r="F235">
        <v>8</v>
      </c>
      <c r="G235">
        <v>8214</v>
      </c>
      <c r="H235" s="2">
        <v>45161</v>
      </c>
      <c r="I235">
        <v>65712</v>
      </c>
      <c r="J235">
        <v>1642.8</v>
      </c>
    </row>
    <row r="236" spans="1:10" x14ac:dyDescent="0.25">
      <c r="A236">
        <v>336</v>
      </c>
      <c r="B236" t="s">
        <v>17</v>
      </c>
      <c r="C236" t="s">
        <v>7</v>
      </c>
      <c r="D236" t="s">
        <v>15</v>
      </c>
      <c r="E236" t="s">
        <v>29</v>
      </c>
      <c r="F236">
        <v>4</v>
      </c>
      <c r="G236">
        <v>1726</v>
      </c>
      <c r="H236" s="2">
        <v>45162</v>
      </c>
      <c r="I236">
        <v>6904</v>
      </c>
      <c r="J236">
        <v>345.2</v>
      </c>
    </row>
    <row r="237" spans="1:10" x14ac:dyDescent="0.25">
      <c r="A237">
        <v>337</v>
      </c>
      <c r="B237" t="s">
        <v>6</v>
      </c>
      <c r="C237" t="s">
        <v>7</v>
      </c>
      <c r="D237" t="s">
        <v>12</v>
      </c>
      <c r="E237" t="s">
        <v>27</v>
      </c>
      <c r="F237">
        <v>4</v>
      </c>
      <c r="G237">
        <v>47600</v>
      </c>
      <c r="H237" s="2">
        <v>45163</v>
      </c>
      <c r="I237">
        <v>190400</v>
      </c>
      <c r="J237">
        <v>9520</v>
      </c>
    </row>
    <row r="238" spans="1:10" x14ac:dyDescent="0.25">
      <c r="A238">
        <v>338</v>
      </c>
      <c r="B238" t="s">
        <v>31</v>
      </c>
      <c r="C238" t="s">
        <v>23</v>
      </c>
      <c r="D238" t="s">
        <v>12</v>
      </c>
      <c r="E238" t="s">
        <v>27</v>
      </c>
      <c r="F238">
        <v>5</v>
      </c>
      <c r="G238">
        <v>12362</v>
      </c>
      <c r="H238" s="2">
        <v>45164</v>
      </c>
      <c r="I238">
        <v>61810</v>
      </c>
      <c r="J238">
        <v>2472.4</v>
      </c>
    </row>
    <row r="239" spans="1:10" x14ac:dyDescent="0.25">
      <c r="A239">
        <v>339</v>
      </c>
      <c r="B239" t="s">
        <v>31</v>
      </c>
      <c r="C239" t="s">
        <v>23</v>
      </c>
      <c r="D239" t="s">
        <v>8</v>
      </c>
      <c r="E239" t="s">
        <v>29</v>
      </c>
      <c r="F239">
        <v>6</v>
      </c>
      <c r="G239">
        <v>19297</v>
      </c>
      <c r="H239" s="2">
        <v>45165</v>
      </c>
      <c r="I239">
        <v>115782</v>
      </c>
      <c r="J239">
        <v>3859.4</v>
      </c>
    </row>
    <row r="240" spans="1:10" x14ac:dyDescent="0.25">
      <c r="A240">
        <v>340</v>
      </c>
      <c r="B240" t="s">
        <v>22</v>
      </c>
      <c r="C240" t="s">
        <v>7</v>
      </c>
      <c r="D240" t="s">
        <v>18</v>
      </c>
      <c r="E240" t="s">
        <v>24</v>
      </c>
      <c r="F240">
        <v>5</v>
      </c>
      <c r="G240">
        <v>31448</v>
      </c>
      <c r="H240" s="2">
        <v>45166</v>
      </c>
      <c r="I240">
        <v>157240</v>
      </c>
      <c r="J240">
        <v>6289.6</v>
      </c>
    </row>
    <row r="241" spans="1:10" x14ac:dyDescent="0.25">
      <c r="A241">
        <v>341</v>
      </c>
      <c r="B241" t="s">
        <v>22</v>
      </c>
      <c r="C241" t="s">
        <v>11</v>
      </c>
      <c r="D241" t="s">
        <v>18</v>
      </c>
      <c r="E241" t="s">
        <v>29</v>
      </c>
      <c r="F241">
        <v>7</v>
      </c>
      <c r="G241">
        <v>27172</v>
      </c>
      <c r="H241" s="2">
        <v>45167</v>
      </c>
      <c r="I241">
        <v>190204</v>
      </c>
      <c r="J241">
        <v>5434.4</v>
      </c>
    </row>
    <row r="242" spans="1:10" x14ac:dyDescent="0.25">
      <c r="A242">
        <v>342</v>
      </c>
      <c r="B242" t="s">
        <v>22</v>
      </c>
      <c r="C242" t="s">
        <v>23</v>
      </c>
      <c r="D242" t="s">
        <v>8</v>
      </c>
      <c r="E242" t="s">
        <v>24</v>
      </c>
      <c r="F242">
        <v>2</v>
      </c>
      <c r="G242">
        <v>43874</v>
      </c>
      <c r="H242" s="2">
        <v>45168</v>
      </c>
      <c r="I242">
        <v>87748</v>
      </c>
      <c r="J242">
        <v>8774.7999999999993</v>
      </c>
    </row>
    <row r="243" spans="1:10" x14ac:dyDescent="0.25">
      <c r="A243">
        <v>343</v>
      </c>
      <c r="B243" t="s">
        <v>10</v>
      </c>
      <c r="C243" t="s">
        <v>7</v>
      </c>
      <c r="D243" t="s">
        <v>15</v>
      </c>
      <c r="E243" t="s">
        <v>24</v>
      </c>
      <c r="F243">
        <v>7</v>
      </c>
      <c r="G243">
        <v>8657</v>
      </c>
      <c r="H243" s="2">
        <v>45169</v>
      </c>
      <c r="I243">
        <v>60599</v>
      </c>
      <c r="J243">
        <v>1731.4</v>
      </c>
    </row>
    <row r="244" spans="1:10" x14ac:dyDescent="0.25">
      <c r="A244">
        <v>344</v>
      </c>
      <c r="B244" t="s">
        <v>14</v>
      </c>
      <c r="C244" t="s">
        <v>7</v>
      </c>
      <c r="D244" t="s">
        <v>18</v>
      </c>
      <c r="E244" t="s">
        <v>16</v>
      </c>
      <c r="F244">
        <v>7</v>
      </c>
      <c r="G244">
        <v>19850</v>
      </c>
      <c r="H244" s="2">
        <v>45170</v>
      </c>
      <c r="I244">
        <v>138950</v>
      </c>
      <c r="J244">
        <v>3970</v>
      </c>
    </row>
    <row r="245" spans="1:10" x14ac:dyDescent="0.25">
      <c r="A245">
        <v>345</v>
      </c>
      <c r="B245" t="s">
        <v>26</v>
      </c>
      <c r="C245" t="s">
        <v>11</v>
      </c>
      <c r="D245" t="s">
        <v>12</v>
      </c>
      <c r="E245" t="s">
        <v>19</v>
      </c>
      <c r="F245">
        <v>1</v>
      </c>
      <c r="G245">
        <v>26425</v>
      </c>
      <c r="H245" s="2">
        <v>45171</v>
      </c>
      <c r="I245">
        <v>26425</v>
      </c>
      <c r="J245">
        <v>5285</v>
      </c>
    </row>
    <row r="246" spans="1:10" x14ac:dyDescent="0.25">
      <c r="A246">
        <v>346</v>
      </c>
      <c r="B246" t="s">
        <v>14</v>
      </c>
      <c r="C246" t="s">
        <v>20</v>
      </c>
      <c r="D246" t="s">
        <v>18</v>
      </c>
      <c r="E246" t="s">
        <v>13</v>
      </c>
      <c r="F246">
        <v>7</v>
      </c>
      <c r="G246">
        <v>27685</v>
      </c>
      <c r="H246" s="2">
        <v>45172</v>
      </c>
      <c r="I246">
        <v>193795</v>
      </c>
      <c r="J246">
        <v>5537</v>
      </c>
    </row>
    <row r="247" spans="1:10" x14ac:dyDescent="0.25">
      <c r="A247">
        <v>347</v>
      </c>
      <c r="B247" t="s">
        <v>30</v>
      </c>
      <c r="C247" t="s">
        <v>23</v>
      </c>
      <c r="D247" t="s">
        <v>12</v>
      </c>
      <c r="E247" t="s">
        <v>24</v>
      </c>
      <c r="F247">
        <v>5</v>
      </c>
      <c r="G247">
        <v>48319</v>
      </c>
      <c r="H247" s="2">
        <v>45173</v>
      </c>
      <c r="I247">
        <v>241595</v>
      </c>
      <c r="J247">
        <v>9663.7999999999993</v>
      </c>
    </row>
    <row r="248" spans="1:10" x14ac:dyDescent="0.25">
      <c r="A248">
        <v>348</v>
      </c>
      <c r="B248" t="s">
        <v>14</v>
      </c>
      <c r="C248" t="s">
        <v>11</v>
      </c>
      <c r="D248" t="s">
        <v>15</v>
      </c>
      <c r="E248" t="s">
        <v>25</v>
      </c>
      <c r="F248">
        <v>3</v>
      </c>
      <c r="G248">
        <v>25578</v>
      </c>
      <c r="H248" s="2">
        <v>45174</v>
      </c>
      <c r="I248">
        <v>76734</v>
      </c>
      <c r="J248">
        <v>5115.6000000000004</v>
      </c>
    </row>
    <row r="249" spans="1:10" x14ac:dyDescent="0.25">
      <c r="A249">
        <v>349</v>
      </c>
      <c r="B249" t="s">
        <v>10</v>
      </c>
      <c r="C249" t="s">
        <v>7</v>
      </c>
      <c r="D249" t="s">
        <v>8</v>
      </c>
      <c r="E249" t="s">
        <v>24</v>
      </c>
      <c r="F249">
        <v>3</v>
      </c>
      <c r="G249">
        <v>29831</v>
      </c>
      <c r="H249" s="2">
        <v>45175</v>
      </c>
      <c r="I249">
        <v>89493</v>
      </c>
      <c r="J249">
        <v>5966.2</v>
      </c>
    </row>
    <row r="250" spans="1:10" x14ac:dyDescent="0.25">
      <c r="A250">
        <v>350</v>
      </c>
      <c r="B250" t="s">
        <v>30</v>
      </c>
      <c r="C250" t="s">
        <v>7</v>
      </c>
      <c r="D250" t="s">
        <v>18</v>
      </c>
      <c r="E250" t="s">
        <v>24</v>
      </c>
      <c r="F250">
        <v>4</v>
      </c>
      <c r="G250">
        <v>8906</v>
      </c>
      <c r="H250" s="2">
        <v>45176</v>
      </c>
      <c r="I250">
        <v>35624</v>
      </c>
      <c r="J250">
        <v>1781.2</v>
      </c>
    </row>
    <row r="251" spans="1:10" x14ac:dyDescent="0.25">
      <c r="A251">
        <v>351</v>
      </c>
      <c r="B251" t="s">
        <v>14</v>
      </c>
      <c r="C251" t="s">
        <v>11</v>
      </c>
      <c r="D251" t="s">
        <v>8</v>
      </c>
      <c r="E251" t="s">
        <v>24</v>
      </c>
      <c r="F251">
        <v>2</v>
      </c>
      <c r="G251">
        <v>8287</v>
      </c>
      <c r="H251" s="2">
        <v>45177</v>
      </c>
      <c r="I251">
        <v>16574</v>
      </c>
      <c r="J251">
        <v>1657.4</v>
      </c>
    </row>
    <row r="252" spans="1:10" x14ac:dyDescent="0.25">
      <c r="A252">
        <v>352</v>
      </c>
      <c r="B252" t="s">
        <v>10</v>
      </c>
      <c r="C252" t="s">
        <v>23</v>
      </c>
      <c r="D252" t="s">
        <v>18</v>
      </c>
      <c r="E252" t="s">
        <v>16</v>
      </c>
      <c r="F252">
        <v>2</v>
      </c>
      <c r="G252">
        <v>34660</v>
      </c>
      <c r="H252" s="2">
        <v>45178</v>
      </c>
      <c r="I252">
        <v>69320</v>
      </c>
      <c r="J252">
        <v>6932</v>
      </c>
    </row>
    <row r="253" spans="1:10" x14ac:dyDescent="0.25">
      <c r="A253">
        <v>353</v>
      </c>
      <c r="B253" t="s">
        <v>26</v>
      </c>
      <c r="C253" t="s">
        <v>20</v>
      </c>
      <c r="D253" t="s">
        <v>12</v>
      </c>
      <c r="E253" t="s">
        <v>19</v>
      </c>
      <c r="F253">
        <v>1</v>
      </c>
      <c r="G253">
        <v>11222</v>
      </c>
      <c r="H253" s="2">
        <v>45179</v>
      </c>
      <c r="I253">
        <v>11222</v>
      </c>
      <c r="J253">
        <v>2244.4</v>
      </c>
    </row>
    <row r="254" spans="1:10" x14ac:dyDescent="0.25">
      <c r="A254">
        <v>354</v>
      </c>
      <c r="B254" t="s">
        <v>14</v>
      </c>
      <c r="C254" t="s">
        <v>20</v>
      </c>
      <c r="D254" t="s">
        <v>8</v>
      </c>
      <c r="E254" t="s">
        <v>16</v>
      </c>
      <c r="F254">
        <v>5</v>
      </c>
      <c r="G254">
        <v>38443</v>
      </c>
      <c r="H254" s="2">
        <v>45180</v>
      </c>
      <c r="I254">
        <v>192215</v>
      </c>
      <c r="J254">
        <v>7688.6</v>
      </c>
    </row>
    <row r="255" spans="1:10" x14ac:dyDescent="0.25">
      <c r="A255">
        <v>355</v>
      </c>
      <c r="B255" t="s">
        <v>10</v>
      </c>
      <c r="C255" t="s">
        <v>7</v>
      </c>
      <c r="D255" t="s">
        <v>18</v>
      </c>
      <c r="E255" t="s">
        <v>27</v>
      </c>
      <c r="F255">
        <v>4</v>
      </c>
      <c r="G255">
        <v>35701</v>
      </c>
      <c r="H255" s="2">
        <v>45181</v>
      </c>
      <c r="I255">
        <v>142804</v>
      </c>
      <c r="J255">
        <v>7140.2</v>
      </c>
    </row>
    <row r="256" spans="1:10" x14ac:dyDescent="0.25">
      <c r="A256">
        <v>356</v>
      </c>
      <c r="B256" t="s">
        <v>22</v>
      </c>
      <c r="C256" t="s">
        <v>23</v>
      </c>
      <c r="D256" t="s">
        <v>12</v>
      </c>
      <c r="E256" t="s">
        <v>16</v>
      </c>
      <c r="F256">
        <v>2</v>
      </c>
      <c r="G256">
        <v>18764</v>
      </c>
      <c r="H256" s="2">
        <v>45182</v>
      </c>
      <c r="I256">
        <v>37528</v>
      </c>
      <c r="J256">
        <v>3752.8</v>
      </c>
    </row>
    <row r="257" spans="1:10" x14ac:dyDescent="0.25">
      <c r="A257">
        <v>357</v>
      </c>
      <c r="B257" t="s">
        <v>31</v>
      </c>
      <c r="C257" t="s">
        <v>20</v>
      </c>
      <c r="D257" t="s">
        <v>8</v>
      </c>
      <c r="E257" t="s">
        <v>25</v>
      </c>
      <c r="F257">
        <v>3</v>
      </c>
      <c r="G257">
        <v>45641</v>
      </c>
      <c r="H257" s="2">
        <v>45183</v>
      </c>
      <c r="I257">
        <v>136923</v>
      </c>
      <c r="J257">
        <v>9128.2000000000007</v>
      </c>
    </row>
    <row r="258" spans="1:10" x14ac:dyDescent="0.25">
      <c r="A258">
        <v>358</v>
      </c>
      <c r="B258" t="s">
        <v>22</v>
      </c>
      <c r="C258" t="s">
        <v>23</v>
      </c>
      <c r="D258" t="s">
        <v>8</v>
      </c>
      <c r="E258" t="s">
        <v>25</v>
      </c>
      <c r="F258">
        <v>7</v>
      </c>
      <c r="G258">
        <v>18674</v>
      </c>
      <c r="H258" s="2">
        <v>45184</v>
      </c>
      <c r="I258">
        <v>130718</v>
      </c>
      <c r="J258">
        <v>3734.8</v>
      </c>
    </row>
    <row r="259" spans="1:10" x14ac:dyDescent="0.25">
      <c r="A259">
        <v>359</v>
      </c>
      <c r="B259" t="s">
        <v>31</v>
      </c>
      <c r="C259" t="s">
        <v>23</v>
      </c>
      <c r="D259" t="s">
        <v>18</v>
      </c>
      <c r="E259" t="s">
        <v>16</v>
      </c>
      <c r="F259">
        <v>7</v>
      </c>
      <c r="G259">
        <v>19024</v>
      </c>
      <c r="H259" s="2">
        <v>45185</v>
      </c>
      <c r="I259">
        <v>133168</v>
      </c>
      <c r="J259">
        <v>3804.8</v>
      </c>
    </row>
    <row r="260" spans="1:10" x14ac:dyDescent="0.25">
      <c r="A260">
        <v>360</v>
      </c>
      <c r="B260" t="s">
        <v>28</v>
      </c>
      <c r="C260" t="s">
        <v>7</v>
      </c>
      <c r="D260" t="s">
        <v>18</v>
      </c>
      <c r="E260" t="s">
        <v>19</v>
      </c>
      <c r="F260">
        <v>4</v>
      </c>
      <c r="G260">
        <v>47007</v>
      </c>
      <c r="H260" s="2">
        <v>45186</v>
      </c>
      <c r="I260">
        <v>188028</v>
      </c>
      <c r="J260">
        <v>9401.4</v>
      </c>
    </row>
    <row r="261" spans="1:10" x14ac:dyDescent="0.25">
      <c r="A261">
        <v>361</v>
      </c>
      <c r="B261" t="s">
        <v>28</v>
      </c>
      <c r="C261" t="s">
        <v>20</v>
      </c>
      <c r="D261" t="s">
        <v>18</v>
      </c>
      <c r="E261" t="s">
        <v>29</v>
      </c>
      <c r="F261">
        <v>5</v>
      </c>
      <c r="G261">
        <v>24874</v>
      </c>
      <c r="H261" s="2">
        <v>45187</v>
      </c>
      <c r="I261">
        <v>124370</v>
      </c>
      <c r="J261">
        <v>4974.8</v>
      </c>
    </row>
    <row r="262" spans="1:10" x14ac:dyDescent="0.25">
      <c r="A262">
        <v>362</v>
      </c>
      <c r="B262" t="s">
        <v>28</v>
      </c>
      <c r="C262" t="s">
        <v>11</v>
      </c>
      <c r="D262" t="s">
        <v>12</v>
      </c>
      <c r="E262" t="s">
        <v>13</v>
      </c>
      <c r="F262">
        <v>5</v>
      </c>
      <c r="G262">
        <v>44642</v>
      </c>
      <c r="H262" s="2">
        <v>45188</v>
      </c>
      <c r="I262">
        <v>223210</v>
      </c>
      <c r="J262">
        <v>8928.4</v>
      </c>
    </row>
    <row r="263" spans="1:10" x14ac:dyDescent="0.25">
      <c r="A263">
        <v>363</v>
      </c>
      <c r="B263" t="s">
        <v>26</v>
      </c>
      <c r="C263" t="s">
        <v>7</v>
      </c>
      <c r="D263" t="s">
        <v>18</v>
      </c>
      <c r="E263" t="s">
        <v>19</v>
      </c>
      <c r="F263">
        <v>6</v>
      </c>
      <c r="G263">
        <v>33284</v>
      </c>
      <c r="H263" s="2">
        <v>45189</v>
      </c>
      <c r="I263">
        <v>199704</v>
      </c>
      <c r="J263">
        <v>6656.8</v>
      </c>
    </row>
    <row r="264" spans="1:10" x14ac:dyDescent="0.25">
      <c r="A264">
        <v>364</v>
      </c>
      <c r="B264" t="s">
        <v>22</v>
      </c>
      <c r="C264" t="s">
        <v>20</v>
      </c>
      <c r="D264" t="s">
        <v>8</v>
      </c>
      <c r="E264" t="s">
        <v>16</v>
      </c>
      <c r="F264">
        <v>9</v>
      </c>
      <c r="G264">
        <v>18602</v>
      </c>
      <c r="H264" s="2">
        <v>45190</v>
      </c>
      <c r="I264">
        <v>167418</v>
      </c>
      <c r="J264">
        <v>3720.4</v>
      </c>
    </row>
    <row r="265" spans="1:10" x14ac:dyDescent="0.25">
      <c r="A265">
        <v>365</v>
      </c>
      <c r="B265" t="s">
        <v>31</v>
      </c>
      <c r="C265" t="s">
        <v>20</v>
      </c>
      <c r="D265" t="s">
        <v>8</v>
      </c>
      <c r="E265" t="s">
        <v>24</v>
      </c>
      <c r="F265">
        <v>2</v>
      </c>
      <c r="G265">
        <v>38784</v>
      </c>
      <c r="H265" s="2">
        <v>45191</v>
      </c>
      <c r="I265">
        <v>77568</v>
      </c>
      <c r="J265">
        <v>7756.8</v>
      </c>
    </row>
    <row r="266" spans="1:10" x14ac:dyDescent="0.25">
      <c r="A266">
        <v>366</v>
      </c>
      <c r="B266" t="s">
        <v>10</v>
      </c>
      <c r="C266" t="s">
        <v>20</v>
      </c>
      <c r="D266" t="s">
        <v>18</v>
      </c>
      <c r="E266" t="s">
        <v>9</v>
      </c>
      <c r="F266">
        <v>5</v>
      </c>
      <c r="G266">
        <v>24265</v>
      </c>
      <c r="H266" s="2">
        <v>45192</v>
      </c>
      <c r="I266">
        <v>121325</v>
      </c>
      <c r="J266">
        <v>4853</v>
      </c>
    </row>
    <row r="267" spans="1:10" x14ac:dyDescent="0.25">
      <c r="A267">
        <v>367</v>
      </c>
      <c r="B267" t="s">
        <v>30</v>
      </c>
      <c r="C267" t="s">
        <v>20</v>
      </c>
      <c r="D267" t="s">
        <v>18</v>
      </c>
      <c r="E267" t="s">
        <v>13</v>
      </c>
      <c r="F267">
        <v>3</v>
      </c>
      <c r="G267">
        <v>26931</v>
      </c>
      <c r="H267" s="2">
        <v>45193</v>
      </c>
      <c r="I267">
        <v>80793</v>
      </c>
      <c r="J267">
        <v>5386.2</v>
      </c>
    </row>
    <row r="268" spans="1:10" x14ac:dyDescent="0.25">
      <c r="A268">
        <v>368</v>
      </c>
      <c r="B268" t="s">
        <v>10</v>
      </c>
      <c r="C268" t="s">
        <v>20</v>
      </c>
      <c r="D268" t="s">
        <v>15</v>
      </c>
      <c r="E268" t="s">
        <v>13</v>
      </c>
      <c r="F268">
        <v>4</v>
      </c>
      <c r="G268">
        <v>29841</v>
      </c>
      <c r="H268" s="2">
        <v>45194</v>
      </c>
      <c r="I268">
        <v>119364</v>
      </c>
      <c r="J268">
        <v>5968.2</v>
      </c>
    </row>
    <row r="269" spans="1:10" x14ac:dyDescent="0.25">
      <c r="A269">
        <v>369</v>
      </c>
      <c r="B269" t="s">
        <v>30</v>
      </c>
      <c r="C269" t="s">
        <v>23</v>
      </c>
      <c r="D269" t="s">
        <v>8</v>
      </c>
      <c r="E269" t="s">
        <v>25</v>
      </c>
      <c r="F269">
        <v>6</v>
      </c>
      <c r="G269">
        <v>30192</v>
      </c>
      <c r="H269" s="2">
        <v>45195</v>
      </c>
      <c r="I269">
        <v>181152</v>
      </c>
      <c r="J269">
        <v>6038.4</v>
      </c>
    </row>
    <row r="270" spans="1:10" x14ac:dyDescent="0.25">
      <c r="A270">
        <v>370</v>
      </c>
      <c r="B270" t="s">
        <v>17</v>
      </c>
      <c r="C270" t="s">
        <v>7</v>
      </c>
      <c r="D270" t="s">
        <v>12</v>
      </c>
      <c r="E270" t="s">
        <v>13</v>
      </c>
      <c r="F270">
        <v>8</v>
      </c>
      <c r="G270">
        <v>47542</v>
      </c>
      <c r="H270" s="2">
        <v>45196</v>
      </c>
      <c r="I270">
        <v>380336</v>
      </c>
      <c r="J270">
        <v>9508.4</v>
      </c>
    </row>
    <row r="271" spans="1:10" x14ac:dyDescent="0.25">
      <c r="A271">
        <v>371</v>
      </c>
      <c r="B271" t="s">
        <v>10</v>
      </c>
      <c r="C271" t="s">
        <v>23</v>
      </c>
      <c r="D271" t="s">
        <v>15</v>
      </c>
      <c r="E271" t="s">
        <v>16</v>
      </c>
      <c r="F271">
        <v>1</v>
      </c>
      <c r="G271">
        <v>43520</v>
      </c>
      <c r="H271" s="2">
        <v>45197</v>
      </c>
      <c r="I271">
        <v>43520</v>
      </c>
      <c r="J271">
        <v>8704</v>
      </c>
    </row>
    <row r="272" spans="1:10" x14ac:dyDescent="0.25">
      <c r="A272">
        <v>372</v>
      </c>
      <c r="B272" t="s">
        <v>14</v>
      </c>
      <c r="C272" t="s">
        <v>11</v>
      </c>
      <c r="D272" t="s">
        <v>18</v>
      </c>
      <c r="E272" t="s">
        <v>24</v>
      </c>
      <c r="F272">
        <v>8</v>
      </c>
      <c r="G272">
        <v>16585</v>
      </c>
      <c r="H272" s="2">
        <v>45198</v>
      </c>
      <c r="I272">
        <v>132680</v>
      </c>
      <c r="J272">
        <v>3317</v>
      </c>
    </row>
    <row r="273" spans="1:10" x14ac:dyDescent="0.25">
      <c r="A273">
        <v>373</v>
      </c>
      <c r="B273" t="s">
        <v>14</v>
      </c>
      <c r="C273" t="s">
        <v>20</v>
      </c>
      <c r="D273" t="s">
        <v>18</v>
      </c>
      <c r="E273" t="s">
        <v>24</v>
      </c>
      <c r="F273">
        <v>7</v>
      </c>
      <c r="G273">
        <v>26559</v>
      </c>
      <c r="H273" s="2">
        <v>45199</v>
      </c>
      <c r="I273">
        <v>185913</v>
      </c>
      <c r="J273">
        <v>5311.8</v>
      </c>
    </row>
    <row r="274" spans="1:10" x14ac:dyDescent="0.25">
      <c r="A274">
        <v>374</v>
      </c>
      <c r="B274" t="s">
        <v>6</v>
      </c>
      <c r="C274" t="s">
        <v>7</v>
      </c>
      <c r="D274" t="s">
        <v>8</v>
      </c>
      <c r="E274" t="s">
        <v>27</v>
      </c>
      <c r="F274">
        <v>1</v>
      </c>
      <c r="G274">
        <v>41059</v>
      </c>
      <c r="H274" s="2">
        <v>45200</v>
      </c>
      <c r="I274">
        <v>41059</v>
      </c>
      <c r="J274">
        <v>8211.7999999999993</v>
      </c>
    </row>
    <row r="275" spans="1:10" x14ac:dyDescent="0.25">
      <c r="A275">
        <v>375</v>
      </c>
      <c r="B275" t="s">
        <v>22</v>
      </c>
      <c r="C275" t="s">
        <v>20</v>
      </c>
      <c r="D275" t="s">
        <v>18</v>
      </c>
      <c r="E275" t="s">
        <v>24</v>
      </c>
      <c r="F275">
        <v>2</v>
      </c>
      <c r="G275">
        <v>34742</v>
      </c>
      <c r="H275" s="2">
        <v>45201</v>
      </c>
      <c r="I275">
        <v>69484</v>
      </c>
      <c r="J275">
        <v>6948.4</v>
      </c>
    </row>
    <row r="276" spans="1:10" x14ac:dyDescent="0.25">
      <c r="A276">
        <v>376</v>
      </c>
      <c r="B276" t="s">
        <v>30</v>
      </c>
      <c r="C276" t="s">
        <v>7</v>
      </c>
      <c r="D276" t="s">
        <v>12</v>
      </c>
      <c r="E276" t="s">
        <v>19</v>
      </c>
      <c r="F276">
        <v>3</v>
      </c>
      <c r="G276">
        <v>5133</v>
      </c>
      <c r="H276" s="2">
        <v>45202</v>
      </c>
      <c r="I276">
        <v>15399</v>
      </c>
      <c r="J276">
        <v>1026.5999999999999</v>
      </c>
    </row>
    <row r="277" spans="1:10" x14ac:dyDescent="0.25">
      <c r="A277">
        <v>377</v>
      </c>
      <c r="B277" t="s">
        <v>30</v>
      </c>
      <c r="C277" t="s">
        <v>23</v>
      </c>
      <c r="D277" t="s">
        <v>8</v>
      </c>
      <c r="E277" t="s">
        <v>24</v>
      </c>
      <c r="F277">
        <v>1</v>
      </c>
      <c r="G277">
        <v>15663</v>
      </c>
      <c r="H277" s="2">
        <v>45203</v>
      </c>
      <c r="I277">
        <v>15663</v>
      </c>
      <c r="J277">
        <v>3132.6</v>
      </c>
    </row>
    <row r="278" spans="1:10" x14ac:dyDescent="0.25">
      <c r="A278">
        <v>378</v>
      </c>
      <c r="B278" t="s">
        <v>22</v>
      </c>
      <c r="C278" t="s">
        <v>7</v>
      </c>
      <c r="D278" t="s">
        <v>18</v>
      </c>
      <c r="E278" t="s">
        <v>25</v>
      </c>
      <c r="F278">
        <v>9</v>
      </c>
      <c r="G278">
        <v>22754</v>
      </c>
      <c r="H278" s="2">
        <v>45204</v>
      </c>
      <c r="I278">
        <v>204786</v>
      </c>
      <c r="J278">
        <v>4550.8</v>
      </c>
    </row>
    <row r="279" spans="1:10" x14ac:dyDescent="0.25">
      <c r="A279">
        <v>379</v>
      </c>
      <c r="B279" t="s">
        <v>26</v>
      </c>
      <c r="C279" t="s">
        <v>11</v>
      </c>
      <c r="D279" t="s">
        <v>8</v>
      </c>
      <c r="E279" t="s">
        <v>24</v>
      </c>
      <c r="F279">
        <v>8</v>
      </c>
      <c r="G279">
        <v>4972</v>
      </c>
      <c r="H279" s="2">
        <v>45205</v>
      </c>
      <c r="I279">
        <v>39776</v>
      </c>
      <c r="J279">
        <v>994.4</v>
      </c>
    </row>
    <row r="280" spans="1:10" x14ac:dyDescent="0.25">
      <c r="A280">
        <v>380</v>
      </c>
      <c r="B280" t="s">
        <v>6</v>
      </c>
      <c r="C280" t="s">
        <v>11</v>
      </c>
      <c r="D280" t="s">
        <v>18</v>
      </c>
      <c r="E280" t="s">
        <v>27</v>
      </c>
      <c r="F280">
        <v>2</v>
      </c>
      <c r="G280">
        <v>6295</v>
      </c>
      <c r="H280" s="2">
        <v>45206</v>
      </c>
      <c r="I280">
        <v>12590</v>
      </c>
      <c r="J280">
        <v>1259</v>
      </c>
    </row>
    <row r="281" spans="1:10" x14ac:dyDescent="0.25">
      <c r="A281">
        <v>381</v>
      </c>
      <c r="B281" t="s">
        <v>26</v>
      </c>
      <c r="C281" t="s">
        <v>7</v>
      </c>
      <c r="D281" t="s">
        <v>18</v>
      </c>
      <c r="E281" t="s">
        <v>9</v>
      </c>
      <c r="F281">
        <v>9</v>
      </c>
      <c r="G281">
        <v>47681</v>
      </c>
      <c r="H281" s="2">
        <v>45207</v>
      </c>
      <c r="I281">
        <v>429129</v>
      </c>
      <c r="J281">
        <v>9536.2000000000007</v>
      </c>
    </row>
    <row r="282" spans="1:10" x14ac:dyDescent="0.25">
      <c r="A282">
        <v>382</v>
      </c>
      <c r="B282" t="s">
        <v>26</v>
      </c>
      <c r="C282" t="s">
        <v>7</v>
      </c>
      <c r="D282" t="s">
        <v>18</v>
      </c>
      <c r="E282" t="s">
        <v>16</v>
      </c>
      <c r="F282">
        <v>7</v>
      </c>
      <c r="G282">
        <v>42873</v>
      </c>
      <c r="H282" s="2">
        <v>45208</v>
      </c>
      <c r="I282">
        <v>300111</v>
      </c>
      <c r="J282">
        <v>8574.6</v>
      </c>
    </row>
    <row r="283" spans="1:10" x14ac:dyDescent="0.25">
      <c r="A283">
        <v>383</v>
      </c>
      <c r="B283" t="s">
        <v>26</v>
      </c>
      <c r="C283" t="s">
        <v>7</v>
      </c>
      <c r="D283" t="s">
        <v>12</v>
      </c>
      <c r="E283" t="s">
        <v>25</v>
      </c>
      <c r="F283">
        <v>9</v>
      </c>
      <c r="G283">
        <v>30125</v>
      </c>
      <c r="H283" s="2">
        <v>45209</v>
      </c>
      <c r="I283">
        <v>271125</v>
      </c>
      <c r="J283">
        <v>6025</v>
      </c>
    </row>
    <row r="284" spans="1:10" x14ac:dyDescent="0.25">
      <c r="A284">
        <v>384</v>
      </c>
      <c r="B284" t="s">
        <v>22</v>
      </c>
      <c r="C284" t="s">
        <v>7</v>
      </c>
      <c r="D284" t="s">
        <v>12</v>
      </c>
      <c r="E284" t="s">
        <v>19</v>
      </c>
      <c r="F284">
        <v>6</v>
      </c>
      <c r="G284">
        <v>41996</v>
      </c>
      <c r="H284" s="2">
        <v>45210</v>
      </c>
      <c r="I284">
        <v>251976</v>
      </c>
      <c r="J284">
        <v>8399.2000000000007</v>
      </c>
    </row>
    <row r="285" spans="1:10" x14ac:dyDescent="0.25">
      <c r="A285">
        <v>385</v>
      </c>
      <c r="B285" t="s">
        <v>26</v>
      </c>
      <c r="C285" t="s">
        <v>11</v>
      </c>
      <c r="D285" t="s">
        <v>8</v>
      </c>
      <c r="E285" t="s">
        <v>9</v>
      </c>
      <c r="F285">
        <v>6</v>
      </c>
      <c r="G285">
        <v>10903</v>
      </c>
      <c r="H285" s="2">
        <v>45211</v>
      </c>
      <c r="I285">
        <v>65418</v>
      </c>
      <c r="J285">
        <v>2180.6</v>
      </c>
    </row>
    <row r="286" spans="1:10" x14ac:dyDescent="0.25">
      <c r="A286">
        <v>386</v>
      </c>
      <c r="B286" t="s">
        <v>14</v>
      </c>
      <c r="C286" t="s">
        <v>20</v>
      </c>
      <c r="D286" t="s">
        <v>18</v>
      </c>
      <c r="E286" t="s">
        <v>25</v>
      </c>
      <c r="F286">
        <v>4</v>
      </c>
      <c r="G286">
        <v>4020</v>
      </c>
      <c r="H286" s="2">
        <v>45212</v>
      </c>
      <c r="I286">
        <v>16080</v>
      </c>
      <c r="J286">
        <v>804</v>
      </c>
    </row>
    <row r="287" spans="1:10" x14ac:dyDescent="0.25">
      <c r="A287">
        <v>387</v>
      </c>
      <c r="B287" t="s">
        <v>28</v>
      </c>
      <c r="C287" t="s">
        <v>7</v>
      </c>
      <c r="D287" t="s">
        <v>18</v>
      </c>
      <c r="E287" t="s">
        <v>29</v>
      </c>
      <c r="F287">
        <v>2</v>
      </c>
      <c r="G287">
        <v>42755</v>
      </c>
      <c r="H287" s="2">
        <v>45213</v>
      </c>
      <c r="I287">
        <v>85510</v>
      </c>
      <c r="J287">
        <v>8551</v>
      </c>
    </row>
    <row r="288" spans="1:10" x14ac:dyDescent="0.25">
      <c r="A288">
        <v>388</v>
      </c>
      <c r="B288" t="s">
        <v>17</v>
      </c>
      <c r="C288" t="s">
        <v>7</v>
      </c>
      <c r="D288" t="s">
        <v>12</v>
      </c>
      <c r="E288" t="s">
        <v>13</v>
      </c>
      <c r="F288">
        <v>7</v>
      </c>
      <c r="G288">
        <v>21420</v>
      </c>
      <c r="H288" s="2">
        <v>45214</v>
      </c>
      <c r="I288">
        <v>149940</v>
      </c>
      <c r="J288">
        <v>4284</v>
      </c>
    </row>
    <row r="289" spans="1:10" x14ac:dyDescent="0.25">
      <c r="A289">
        <v>389</v>
      </c>
      <c r="B289" t="s">
        <v>30</v>
      </c>
      <c r="C289" t="s">
        <v>11</v>
      </c>
      <c r="D289" t="s">
        <v>18</v>
      </c>
      <c r="E289" t="s">
        <v>29</v>
      </c>
      <c r="F289">
        <v>5</v>
      </c>
      <c r="G289">
        <v>22452</v>
      </c>
      <c r="H289" s="2">
        <v>45215</v>
      </c>
      <c r="I289">
        <v>112260</v>
      </c>
      <c r="J289">
        <v>4490.3999999999996</v>
      </c>
    </row>
    <row r="290" spans="1:10" x14ac:dyDescent="0.25">
      <c r="A290">
        <v>390</v>
      </c>
      <c r="B290" t="s">
        <v>30</v>
      </c>
      <c r="C290" t="s">
        <v>11</v>
      </c>
      <c r="D290" t="s">
        <v>12</v>
      </c>
      <c r="E290" t="s">
        <v>24</v>
      </c>
      <c r="F290">
        <v>6</v>
      </c>
      <c r="G290">
        <v>46648</v>
      </c>
      <c r="H290" s="2">
        <v>45216</v>
      </c>
      <c r="I290">
        <v>279888</v>
      </c>
      <c r="J290">
        <v>9329.6</v>
      </c>
    </row>
    <row r="291" spans="1:10" x14ac:dyDescent="0.25">
      <c r="A291">
        <v>391</v>
      </c>
      <c r="B291" t="s">
        <v>17</v>
      </c>
      <c r="C291" t="s">
        <v>23</v>
      </c>
      <c r="D291" t="s">
        <v>18</v>
      </c>
      <c r="E291" t="s">
        <v>9</v>
      </c>
      <c r="F291">
        <v>2</v>
      </c>
      <c r="G291">
        <v>39001</v>
      </c>
      <c r="H291" s="2">
        <v>45217</v>
      </c>
      <c r="I291">
        <v>78002</v>
      </c>
      <c r="J291">
        <v>7800.2</v>
      </c>
    </row>
    <row r="292" spans="1:10" x14ac:dyDescent="0.25">
      <c r="A292">
        <v>392</v>
      </c>
      <c r="B292" t="s">
        <v>22</v>
      </c>
      <c r="C292" t="s">
        <v>7</v>
      </c>
      <c r="D292" t="s">
        <v>8</v>
      </c>
      <c r="E292" t="s">
        <v>24</v>
      </c>
      <c r="F292">
        <v>5</v>
      </c>
      <c r="G292">
        <v>10516</v>
      </c>
      <c r="H292" s="2">
        <v>45218</v>
      </c>
      <c r="I292">
        <v>52580</v>
      </c>
      <c r="J292">
        <v>2103.1999999999998</v>
      </c>
    </row>
    <row r="293" spans="1:10" x14ac:dyDescent="0.25">
      <c r="A293">
        <v>393</v>
      </c>
      <c r="B293" t="s">
        <v>10</v>
      </c>
      <c r="C293" t="s">
        <v>23</v>
      </c>
      <c r="D293" t="s">
        <v>18</v>
      </c>
      <c r="E293" t="s">
        <v>13</v>
      </c>
      <c r="F293">
        <v>4</v>
      </c>
      <c r="G293">
        <v>48327</v>
      </c>
      <c r="H293" s="2">
        <v>45219</v>
      </c>
      <c r="I293">
        <v>193308</v>
      </c>
      <c r="J293">
        <v>9665.4</v>
      </c>
    </row>
    <row r="294" spans="1:10" x14ac:dyDescent="0.25">
      <c r="A294">
        <v>394</v>
      </c>
      <c r="B294" t="s">
        <v>22</v>
      </c>
      <c r="C294" t="s">
        <v>11</v>
      </c>
      <c r="D294" t="s">
        <v>18</v>
      </c>
      <c r="E294" t="s">
        <v>25</v>
      </c>
      <c r="F294">
        <v>9</v>
      </c>
      <c r="G294">
        <v>3396</v>
      </c>
      <c r="H294" s="2">
        <v>45220</v>
      </c>
      <c r="I294">
        <v>30564</v>
      </c>
      <c r="J294">
        <v>679.2</v>
      </c>
    </row>
    <row r="295" spans="1:10" x14ac:dyDescent="0.25">
      <c r="A295">
        <v>395</v>
      </c>
      <c r="B295" t="s">
        <v>30</v>
      </c>
      <c r="C295" t="s">
        <v>11</v>
      </c>
      <c r="D295" t="s">
        <v>15</v>
      </c>
      <c r="E295" t="s">
        <v>13</v>
      </c>
      <c r="F295">
        <v>6</v>
      </c>
      <c r="G295">
        <v>19546</v>
      </c>
      <c r="H295" s="2">
        <v>45221</v>
      </c>
      <c r="I295">
        <v>117276</v>
      </c>
      <c r="J295">
        <v>3909.2</v>
      </c>
    </row>
    <row r="296" spans="1:10" x14ac:dyDescent="0.25">
      <c r="A296">
        <v>396</v>
      </c>
      <c r="B296" t="s">
        <v>30</v>
      </c>
      <c r="C296" t="s">
        <v>20</v>
      </c>
      <c r="D296" t="s">
        <v>12</v>
      </c>
      <c r="E296" t="s">
        <v>27</v>
      </c>
      <c r="F296">
        <v>2</v>
      </c>
      <c r="G296">
        <v>20129</v>
      </c>
      <c r="H296" s="2">
        <v>45222</v>
      </c>
      <c r="I296">
        <v>40258</v>
      </c>
      <c r="J296">
        <v>4025.8</v>
      </c>
    </row>
    <row r="297" spans="1:10" x14ac:dyDescent="0.25">
      <c r="A297">
        <v>397</v>
      </c>
      <c r="B297" t="s">
        <v>17</v>
      </c>
      <c r="C297" t="s">
        <v>7</v>
      </c>
      <c r="D297" t="s">
        <v>18</v>
      </c>
      <c r="E297" t="s">
        <v>13</v>
      </c>
      <c r="F297">
        <v>1</v>
      </c>
      <c r="G297">
        <v>2591</v>
      </c>
      <c r="H297" s="2">
        <v>45223</v>
      </c>
      <c r="I297">
        <v>2591</v>
      </c>
      <c r="J297">
        <v>518.20000000000005</v>
      </c>
    </row>
    <row r="298" spans="1:10" x14ac:dyDescent="0.25">
      <c r="A298">
        <v>398</v>
      </c>
      <c r="B298" t="s">
        <v>26</v>
      </c>
      <c r="C298" t="s">
        <v>23</v>
      </c>
      <c r="D298" t="s">
        <v>18</v>
      </c>
      <c r="E298" t="s">
        <v>27</v>
      </c>
      <c r="F298">
        <v>5</v>
      </c>
      <c r="G298">
        <v>12303</v>
      </c>
      <c r="H298" s="2">
        <v>45224</v>
      </c>
      <c r="I298">
        <v>61515</v>
      </c>
      <c r="J298">
        <v>2460.6</v>
      </c>
    </row>
    <row r="299" spans="1:10" x14ac:dyDescent="0.25">
      <c r="A299">
        <v>399</v>
      </c>
      <c r="B299" t="s">
        <v>22</v>
      </c>
      <c r="C299" t="s">
        <v>11</v>
      </c>
      <c r="D299" t="s">
        <v>15</v>
      </c>
      <c r="E299" t="s">
        <v>13</v>
      </c>
      <c r="F299">
        <v>9</v>
      </c>
      <c r="G299">
        <v>31561</v>
      </c>
      <c r="H299" s="2">
        <v>45225</v>
      </c>
      <c r="I299">
        <v>284049</v>
      </c>
      <c r="J299">
        <v>6312.2</v>
      </c>
    </row>
    <row r="300" spans="1:10" x14ac:dyDescent="0.25">
      <c r="A300">
        <v>400</v>
      </c>
      <c r="B300" t="s">
        <v>31</v>
      </c>
      <c r="C300" t="s">
        <v>11</v>
      </c>
      <c r="D300" t="s">
        <v>15</v>
      </c>
      <c r="E300" t="s">
        <v>16</v>
      </c>
      <c r="F300">
        <v>6</v>
      </c>
      <c r="G300">
        <v>7183</v>
      </c>
      <c r="H300" s="2">
        <v>45226</v>
      </c>
      <c r="I300">
        <v>43098</v>
      </c>
      <c r="J300">
        <v>1436.6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5B00846-ECCB-4961-9020-52442C98319C}">
  <ds:schemaRefs/>
</ds:datastoreItem>
</file>

<file path=customXml/itemProps2.xml><?xml version="1.0" encoding="utf-8"?>
<ds:datastoreItem xmlns:ds="http://schemas.openxmlformats.org/officeDocument/2006/customXml" ds:itemID="{9D778F9F-ADC1-4F06-8406-7866AA808EE2}">
  <ds:schemaRefs/>
</ds:datastoreItem>
</file>

<file path=customXml/itemProps3.xml><?xml version="1.0" encoding="utf-8"?>
<ds:datastoreItem xmlns:ds="http://schemas.openxmlformats.org/officeDocument/2006/customXml" ds:itemID="{A845FF09-66AC-41B2-9B25-F3D4E7382B2F}">
  <ds:schemaRefs/>
</ds:datastoreItem>
</file>

<file path=customXml/itemProps4.xml><?xml version="1.0" encoding="utf-8"?>
<ds:datastoreItem xmlns:ds="http://schemas.openxmlformats.org/officeDocument/2006/customXml" ds:itemID="{1705B756-22EF-4059-B727-D56BC5ACCA7E}">
  <ds:schemaRefs/>
</ds:datastoreItem>
</file>

<file path=customXml/itemProps5.xml><?xml version="1.0" encoding="utf-8"?>
<ds:datastoreItem xmlns:ds="http://schemas.openxmlformats.org/officeDocument/2006/customXml" ds:itemID="{BD2ADE8A-4136-4A80-9BF3-2AB46BE2EAF0}">
  <ds:schemaRefs>
    <ds:schemaRef ds:uri="http://schemas.microsoft.com/DataMashup"/>
  </ds:schemaRefs>
</ds:datastoreItem>
</file>

<file path=customXml/itemProps6.xml><?xml version="1.0" encoding="utf-8"?>
<ds:datastoreItem xmlns:ds="http://schemas.openxmlformats.org/officeDocument/2006/customXml" ds:itemID="{2544A162-A785-4C21-8658-F1D7FDA974B4}">
  <ds:schemaRefs/>
</ds:datastoreItem>
</file>

<file path=customXml/itemProps7.xml><?xml version="1.0" encoding="utf-8"?>
<ds:datastoreItem xmlns:ds="http://schemas.openxmlformats.org/officeDocument/2006/customXml" ds:itemID="{0211FC4F-DE3C-4700-A4FC-CB4A8C6F52AA}">
  <ds:schemaRefs/>
</ds:datastoreItem>
</file>

<file path=customXml/itemProps8.xml><?xml version="1.0" encoding="utf-8"?>
<ds:datastoreItem xmlns:ds="http://schemas.openxmlformats.org/officeDocument/2006/customXml" ds:itemID="{B46D02C0-5602-46D5-B434-38C124C74C8D}">
  <ds:schemaRefs/>
</ds:datastoreItem>
</file>

<file path=customXml/itemProps9.xml><?xml version="1.0" encoding="utf-8"?>
<ds:datastoreItem xmlns:ds="http://schemas.openxmlformats.org/officeDocument/2006/customXml" ds:itemID="{8BE0BB5B-5CD3-4D99-909F-6FD18923BCE5}">
  <ds:schemaRefs/>
</ds:datastoreItem>
</file>

<file path=customXml/itemProps10.xml><?xml version="1.0" encoding="utf-8"?>
<ds:datastoreItem xmlns:ds="http://schemas.openxmlformats.org/officeDocument/2006/customXml" ds:itemID="{4F7EF017-2561-49FD-B9FF-8569CC7C67F0}">
  <ds:schemaRefs/>
</ds:datastoreItem>
</file>

<file path=customXml/itemProps11.xml><?xml version="1.0" encoding="utf-8"?>
<ds:datastoreItem xmlns:ds="http://schemas.openxmlformats.org/officeDocument/2006/customXml" ds:itemID="{30EF503E-FE14-40F1-A9EF-B8A6846E80DD}">
  <ds:schemaRefs/>
</ds:datastoreItem>
</file>

<file path=customXml/itemProps12.xml><?xml version="1.0" encoding="utf-8"?>
<ds:datastoreItem xmlns:ds="http://schemas.openxmlformats.org/officeDocument/2006/customXml" ds:itemID="{0AAC8890-1A65-4A83-B53A-0C5139DB78E0}">
  <ds:schemaRefs/>
</ds:datastoreItem>
</file>

<file path=customXml/itemProps13.xml><?xml version="1.0" encoding="utf-8"?>
<ds:datastoreItem xmlns:ds="http://schemas.openxmlformats.org/officeDocument/2006/customXml" ds:itemID="{011F91AB-6623-47EF-BAF4-4AFDA4AE7A8A}">
  <ds:schemaRefs/>
</ds:datastoreItem>
</file>

<file path=customXml/itemProps14.xml><?xml version="1.0" encoding="utf-8"?>
<ds:datastoreItem xmlns:ds="http://schemas.openxmlformats.org/officeDocument/2006/customXml" ds:itemID="{A500F427-ED04-4CD0-9708-59065FAEACB4}">
  <ds:schemaRefs/>
</ds:datastoreItem>
</file>

<file path=customXml/itemProps15.xml><?xml version="1.0" encoding="utf-8"?>
<ds:datastoreItem xmlns:ds="http://schemas.openxmlformats.org/officeDocument/2006/customXml" ds:itemID="{064A191D-C7BD-4368-A117-0036F6446FDA}">
  <ds:schemaRefs/>
</ds:datastoreItem>
</file>

<file path=customXml/itemProps16.xml><?xml version="1.0" encoding="utf-8"?>
<ds:datastoreItem xmlns:ds="http://schemas.openxmlformats.org/officeDocument/2006/customXml" ds:itemID="{0D3D2C3B-93EE-444E-B6A0-4ECDD3D6015E}">
  <ds:schemaRefs/>
</ds:datastoreItem>
</file>

<file path=customXml/itemProps17.xml><?xml version="1.0" encoding="utf-8"?>
<ds:datastoreItem xmlns:ds="http://schemas.openxmlformats.org/officeDocument/2006/customXml" ds:itemID="{EF0EEF09-3099-4E4D-8B4A-4AAA2CC2A42A}">
  <ds:schemaRefs/>
</ds:datastoreItem>
</file>

<file path=customXml/itemProps18.xml><?xml version="1.0" encoding="utf-8"?>
<ds:datastoreItem xmlns:ds="http://schemas.openxmlformats.org/officeDocument/2006/customXml" ds:itemID="{B51B9CC3-3E0D-491D-BC87-28E5B45311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Tables</vt:lpstr>
      <vt:lpstr>Dashboard</vt:lpstr>
      <vt:lpstr>Sheet2</vt:lpstr>
      <vt:lpstr>Sheet3</vt:lpstr>
      <vt:lpstr>Sales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ASDC4</cp:lastModifiedBy>
  <dcterms:created xsi:type="dcterms:W3CDTF">2026-03-21T14:26:27Z</dcterms:created>
  <dcterms:modified xsi:type="dcterms:W3CDTF">2026-07-07T07:32:55Z</dcterms:modified>
</cp:coreProperties>
</file>