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8D267F6-C719-4179-9B40-97CEBDC41464}" xr6:coauthVersionLast="47" xr6:coauthVersionMax="47" xr10:uidLastSave="{00000000-0000-0000-0000-000000000000}"/>
  <bookViews>
    <workbookView xWindow="-108" yWindow="-108" windowWidth="23256" windowHeight="12456" activeTab="1" xr2:uid="{37C70BBA-3FA4-40A7-9BE0-C60F945E9BF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2" l="1"/>
  <c r="O24" i="2"/>
  <c r="O20" i="2"/>
  <c r="O16" i="2"/>
  <c r="J19" i="2"/>
  <c r="J15" i="2"/>
  <c r="J11" i="2"/>
  <c r="D28" i="2"/>
  <c r="D25" i="2"/>
  <c r="D22" i="2"/>
  <c r="D19" i="2"/>
  <c r="D16" i="2"/>
</calcChain>
</file>

<file path=xl/sharedStrings.xml><?xml version="1.0" encoding="utf-8"?>
<sst xmlns="http://schemas.openxmlformats.org/spreadsheetml/2006/main" count="234" uniqueCount="172">
  <si>
    <t xml:space="preserve">  Product ID   Product Name   Category      Brand          Price   Stock</t>
  </si>
  <si>
    <t xml:space="preserve">  ------------ -------------- ------------- ------------ ------- -------</t>
  </si>
  <si>
    <t xml:space="preserve">  P1001        Laptop         Electronics   Dell           55000      25</t>
  </si>
  <si>
    <t xml:space="preserve">  P1002        Smartphone     Electronics   Samsung        32000      40</t>
  </si>
  <si>
    <t xml:space="preserve">  P1003        Headphones     Electronics   Sony            4500      80</t>
  </si>
  <si>
    <t xml:space="preserve">  P1004        Keyboard       Accessories   Logitech        1800      65</t>
  </si>
  <si>
    <t xml:space="preserve">  P1005        Mouse          Accessories   HP               900     120</t>
  </si>
  <si>
    <t xml:space="preserve">  P1006        Printer        Electronics   Canon          12500      18</t>
  </si>
  <si>
    <t xml:space="preserve">  P1007        Office Chair   Furniture     Green Soul      8500      20</t>
  </si>
  <si>
    <t xml:space="preserve">  P1008        Office Desk    Furniture     IKEA           12000      15</t>
  </si>
  <si>
    <t xml:space="preserve">  P1009        Monitor        Electronics   LG             16000      30</t>
  </si>
  <si>
    <t xml:space="preserve">  P1010        Webcam         Accessories   Logitech        3500      50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</si>
  <si>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</si>
  <si>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</si>
  <si>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</si>
  <si>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</si>
  <si>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</si>
  <si>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</si>
  <si>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</si>
  <si>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</si>
  <si>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</si>
  <si>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</si>
  <si>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</si>
  <si>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</si>
  <si>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 xml:space="preserve">  Customer ID   Customer Name   City        State            Gender</t>
  </si>
  <si>
    <t xml:space="preserve">  ------------- --------------- ----------- ---------------- --------</t>
  </si>
  <si>
    <t xml:space="preserve">  C001          Amit Patel      Ahmedabad   Gujarat          Male</t>
  </si>
  <si>
    <t xml:space="preserve">  C002          Priya Shah      Surat       Gujarat          Female</t>
  </si>
  <si>
    <t xml:space="preserve">  C003          Rahul Mehta     Mumbai      Maharashtra      Male</t>
  </si>
  <si>
    <t xml:space="preserve">  C004          Sneha Joshi     Pune        Maharashtra      Female</t>
  </si>
  <si>
    <t xml:space="preserve">  C005          Arjun Singh     Jaipur      Rajasthan        Male</t>
  </si>
  <si>
    <t xml:space="preserve">  C006          Neha Verma      Delhi       Delhi            Female</t>
  </si>
  <si>
    <t xml:space="preserve">  C007          Rohan Gupta     Indore      Madhya Pradesh   Male</t>
  </si>
  <si>
    <t xml:space="preserve">  C008          Pooja Sharma    Lucknow     Uttar Pradesh    Female</t>
  </si>
  <si>
    <t xml:space="preserve">  C009          Karan Desai     Vadodara    Gujarat          Male</t>
  </si>
  <si>
    <t xml:space="preserve">  C010          Anjali Nair     Kochi       Kerala           Female</t>
  </si>
  <si>
    <t xml:space="preserve">  Sale ID   Product ID   Customer ID     Quantity Date          Store ID</t>
  </si>
  <si>
    <t xml:space="preserve">  --------- ------------ ------------- ---------- ------------- ----------</t>
  </si>
  <si>
    <t xml:space="preserve">  SA001     P1001        C001                   1 01-Jan-2026   S001</t>
  </si>
  <si>
    <t xml:space="preserve">  SA002     P1005        C002                   3 02-Jan-2026   S002</t>
  </si>
  <si>
    <t xml:space="preserve">  SA003     P1003        C003                   2 03-Jan-2026   S003</t>
  </si>
  <si>
    <t xml:space="preserve">  SA004     P1009        C004                   1 04-Jan-2026   S004</t>
  </si>
  <si>
    <t xml:space="preserve">  SA005     P1002        C005                   2 05-Jan-2026   S005</t>
  </si>
  <si>
    <t xml:space="preserve">  SA006     P1007        C006                   1 06-Jan-2026   S001</t>
  </si>
  <si>
    <t xml:space="preserve">  SA007     P1006        C007                   1 07-Jan-2026   S002</t>
  </si>
  <si>
    <t xml:space="preserve">  SA008     P1010        C008                   2 08-Jan-2026   S003</t>
  </si>
  <si>
    <t xml:space="preserve">  SA009     P1004        C009                   4 09-Jan-2026   S004</t>
  </si>
  <si>
    <t xml:space="preserve">  SA010     P1008        C010                   1 10-Jan-2026   S005</t>
  </si>
  <si>
    <t xml:space="preserve">  SA011     P1005        C001                   5 11-Jan-2026   S001</t>
  </si>
  <si>
    <t xml:space="preserve">  SA012     P1003        C002                   3 12-Jan-2026   S002</t>
  </si>
  <si>
    <t xml:space="preserve">  SA013     P1001        C003                   1 13-Jan-2026   S003</t>
  </si>
  <si>
    <t xml:space="preserve">  SA014     P1009        C004                   2 14-Jan-2026   S004</t>
  </si>
  <si>
    <t xml:space="preserve">  SA015     P1002        C005                   1 15-Jan-2026   S005</t>
  </si>
  <si>
    <t>TASK-1</t>
  </si>
  <si>
    <t>Column62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</si>
  <si>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</si>
  <si>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</si>
  <si>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</si>
  <si>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</si>
  <si>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</si>
  <si>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</si>
  <si>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</si>
  <si>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</si>
  <si>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</si>
  <si>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</si>
  <si>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</si>
  <si>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</si>
  <si>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</si>
  <si>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</si>
  <si>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</si>
  <si>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</si>
  <si>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PRODUCT ID</t>
  </si>
  <si>
    <t>PRODUCT  NAME</t>
  </si>
  <si>
    <t>CATEGORY</t>
  </si>
  <si>
    <t>BRAND</t>
  </si>
  <si>
    <t>PRICE</t>
  </si>
  <si>
    <t>STOCK</t>
  </si>
  <si>
    <t>DELL</t>
  </si>
  <si>
    <t>SAMSANG</t>
  </si>
  <si>
    <t>SONY</t>
  </si>
  <si>
    <t>LOFITECH</t>
  </si>
  <si>
    <t>HP</t>
  </si>
  <si>
    <t>CANON</t>
  </si>
  <si>
    <t>GREENSUL</t>
  </si>
  <si>
    <t>IKEA</t>
  </si>
  <si>
    <t>LG</t>
  </si>
  <si>
    <t>LOGITECH</t>
  </si>
  <si>
    <t>ELECTRONIES</t>
  </si>
  <si>
    <t>ACCESSORIES</t>
  </si>
  <si>
    <t>FURNITURE</t>
  </si>
  <si>
    <t>LAPTOP</t>
  </si>
  <si>
    <t>SMARTPHONE</t>
  </si>
  <si>
    <t>KEYBOARD</t>
  </si>
  <si>
    <t>MOUSE</t>
  </si>
  <si>
    <t>PRINTER</t>
  </si>
  <si>
    <t>OFFICE CHAIR</t>
  </si>
  <si>
    <t>OFFICE DESK</t>
  </si>
  <si>
    <t>MONITER</t>
  </si>
  <si>
    <t>WEBCAM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</si>
  <si>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</si>
  <si>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</si>
  <si>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</si>
  <si>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</si>
  <si>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</si>
  <si>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</si>
  <si>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</si>
  <si>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</si>
  <si>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</si>
  <si>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</si>
  <si>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TASK-2</t>
  </si>
  <si>
    <t>TASK-3</t>
  </si>
  <si>
    <t>TASK-4</t>
  </si>
  <si>
    <t>TASK-5</t>
  </si>
  <si>
    <t>STORE ID</t>
  </si>
  <si>
    <t>STORE NAME</t>
  </si>
  <si>
    <t>CITY</t>
  </si>
  <si>
    <t>STATE</t>
  </si>
  <si>
    <t>S001</t>
  </si>
  <si>
    <t>S002</t>
  </si>
  <si>
    <t>S003</t>
  </si>
  <si>
    <t>S004</t>
  </si>
  <si>
    <t>S005</t>
  </si>
  <si>
    <t>ALPHA STORE</t>
  </si>
  <si>
    <t>BETA STORE</t>
  </si>
  <si>
    <t>CENTRAL</t>
  </si>
  <si>
    <t>DIGITAL STORE</t>
  </si>
  <si>
    <t>SMART WORLD</t>
  </si>
  <si>
    <t>SURAT</t>
  </si>
  <si>
    <t>MUMBAI</t>
  </si>
  <si>
    <t>PUNE</t>
  </si>
  <si>
    <t>JAIPUR</t>
  </si>
  <si>
    <t>GUJRAT</t>
  </si>
  <si>
    <t>GURAT</t>
  </si>
  <si>
    <t>MAHARASTHA</t>
  </si>
  <si>
    <t>RAJESHTHAN</t>
  </si>
  <si>
    <t>AHMDABAD</t>
  </si>
  <si>
    <t>CUSTOMER ID</t>
  </si>
  <si>
    <t>CUSTOMER NAME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</si>
  <si>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</si>
  <si>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</si>
  <si>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</si>
  <si>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</si>
  <si>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</si>
  <si>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</si>
  <si>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</si>
  <si>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</si>
  <si>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</si>
  <si>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</si>
  <si>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AMIT PATEL</t>
  </si>
  <si>
    <t>PRIYA SHAH</t>
  </si>
  <si>
    <t>RAHUL MEHATA</t>
  </si>
  <si>
    <t>SNEHA JOSHI</t>
  </si>
  <si>
    <t>ARJUN SIGNH</t>
  </si>
  <si>
    <t>NEHA VERMA</t>
  </si>
  <si>
    <t>ROHAN GUPTA</t>
  </si>
  <si>
    <t>POOJA SHARMA</t>
  </si>
  <si>
    <t>KARAN DESAI</t>
  </si>
  <si>
    <t>ANJALI NAIR</t>
  </si>
  <si>
    <t>DELHI</t>
  </si>
  <si>
    <t>INDORE</t>
  </si>
  <si>
    <t>LUCKHOW</t>
  </si>
  <si>
    <t>VADODARA</t>
  </si>
  <si>
    <t>KOCHI</t>
  </si>
  <si>
    <t>GUJARAT</t>
  </si>
  <si>
    <t>MAHARASHTRA</t>
  </si>
  <si>
    <t>RAJASTHAN</t>
  </si>
  <si>
    <t>MADHYA PRADESH</t>
  </si>
  <si>
    <t>UTTER PRADESH</t>
  </si>
  <si>
    <t>KERALA</t>
  </si>
  <si>
    <t>GENDER</t>
  </si>
  <si>
    <t xml:space="preserve">MALE 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</si>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</sst>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7DCBB6-E337-489C-963D-B2ABC50C49EB}" name="Table1" displayName="Table1" ref="A1:AC13" totalsRowShown="0">
  <autoFilter ref="A1:AC13" xr:uid="{477DCBB6-E337-489C-963D-B2ABC50C49EB}"/>
  <tableColumns count="29">
    <tableColumn id="28" xr3:uid="{B8A3ECC8-CC3C-4293-BF08-584DF25EF7D9}" name="Column27"/>
    <tableColumn id="29" xr3:uid="{2E6C69C2-6F6A-4A27-959D-CB0C500B1089}" name="Column28"/>
    <tableColumn id="7" xr3:uid="{0E47F2F7-71F0-4A91-A176-91D4C98118AF}" name="Column7"/>
    <tableColumn id="8" xr3:uid="{833B95A1-6CB2-4B28-AFF6-0D33D29D808D}" name="Column8"/>
    <tableColumn id="9" xr3:uid="{7CD86796-B491-4749-8005-CC304A27D83F}" name="Column9"/>
    <tableColumn id="10" xr3:uid="{9C3EE7B8-2A46-4532-BA94-34AD1F04B85C}" name="Column10"/>
    <tableColumn id="11" xr3:uid="{5473FCAB-4D37-497C-9421-8A4B0C71E987}" name="Column11"/>
    <tableColumn id="12" xr3:uid="{C3E8B610-1134-4BA7-94A1-CCC6EFBE17A9}" name="Column12"/>
    <tableColumn id="14" xr3:uid="{A5F47C6C-ED7C-4211-92A8-6553E5A08AD8}" name="Column13"/>
    <tableColumn id="15" xr3:uid="{FE0D8EC1-BB4F-47A4-836B-C98F546FD377}" name="Column14"/>
    <tableColumn id="16" xr3:uid="{861A22A7-5C0B-421E-A8EF-358A410E4003}" name="Column15"/>
    <tableColumn id="17" xr3:uid="{997E5C28-2CD6-4DFF-8D1B-8A6DF945CFFB}" name="Column16"/>
    <tableColumn id="18" xr3:uid="{085466A9-3A43-4F18-9337-ACE6062E5178}" name="Column17"/>
    <tableColumn id="19" xr3:uid="{2B3BA648-19F7-4399-8C1A-AEC1C2898B86}" name="Column18"/>
    <tableColumn id="20" xr3:uid="{C1E081DE-DCB1-403F-B41F-540CD5C0F5FD}" name="Column19"/>
    <tableColumn id="21" xr3:uid="{A61F13D3-7BDC-432D-A52D-A80E79D14763}" name="Column20"/>
    <tableColumn id="22" xr3:uid="{FDB63120-1FDD-4473-8223-EE4B1DCBF005}" name="Column21"/>
    <tableColumn id="23" xr3:uid="{F99C14AB-B389-4EDF-B39A-D3BF941D42F4}" name="Column22"/>
    <tableColumn id="24" xr3:uid="{51735880-894C-4C77-A261-D567A4EC805F}" name="Column23"/>
    <tableColumn id="25" xr3:uid="{7C17FEDB-5DE5-4536-95D3-CED47AFA9A5E}" name="Column24"/>
    <tableColumn id="26" xr3:uid="{A1AD1124-3DFB-4EA4-93AB-DA28A13CD472}" name="Column25"/>
    <tableColumn id="27" xr3:uid="{D4078D56-A471-4ED7-BD13-F7B707950E3B}" name="Column26"/>
    <tableColumn id="1" xr3:uid="{422F6522-213C-4D1A-AE44-F80B5675FE2A}" name="Column1"/>
    <tableColumn id="2" xr3:uid="{51278A49-3EF0-459B-B95F-517CC09B3DDA}" name="Column2"/>
    <tableColumn id="3" xr3:uid="{4452E989-6525-4D23-BD86-368459F1C6AD}" name="Column3"/>
    <tableColumn id="4" xr3:uid="{610ABFA0-B1E7-4F70-9F8D-EDA4D11123B0}" name="Column4"/>
    <tableColumn id="5" xr3:uid="{8E1CBCAD-94DE-4E00-9147-DFFBD24809CF}" name="Column5"/>
    <tableColumn id="6" xr3:uid="{4A509F55-92DB-446C-8DD3-21808495B3EF}" name="Column6"/>
    <tableColumn id="13" xr3:uid="{7E2D268E-B706-4273-8E3A-28CB8C39D433}" name="Column6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44C4-A53C-4D12-BF52-FF82AFB39784}">
  <dimension ref="A1:AC35"/>
  <sheetViews>
    <sheetView topLeftCell="A2" workbookViewId="0">
      <selection activeCell="F24" sqref="F24"/>
    </sheetView>
  </sheetViews>
  <sheetFormatPr defaultRowHeight="14.4" x14ac:dyDescent="0.3"/>
  <cols>
    <col min="1" max="6" width="10.44140625" customWidth="1"/>
  </cols>
  <sheetData>
    <row r="1" spans="1:29" x14ac:dyDescent="0.3">
      <c r="A1" t="s">
        <v>69</v>
      </c>
      <c r="B1" t="s">
        <v>70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54</v>
      </c>
    </row>
    <row r="2" spans="1:29" x14ac:dyDescent="0.3">
      <c r="C2" t="s">
        <v>0</v>
      </c>
      <c r="W2" s="1"/>
      <c r="AC2" t="s">
        <v>53</v>
      </c>
    </row>
    <row r="3" spans="1:29" x14ac:dyDescent="0.3">
      <c r="C3" t="s">
        <v>1</v>
      </c>
    </row>
    <row r="4" spans="1:29" x14ac:dyDescent="0.3">
      <c r="C4" t="s">
        <v>2</v>
      </c>
    </row>
    <row r="5" spans="1:29" x14ac:dyDescent="0.3">
      <c r="C5" t="s">
        <v>3</v>
      </c>
    </row>
    <row r="6" spans="1:29" x14ac:dyDescent="0.3">
      <c r="C6" t="s">
        <v>4</v>
      </c>
    </row>
    <row r="7" spans="1:29" x14ac:dyDescent="0.3">
      <c r="C7" t="s">
        <v>5</v>
      </c>
    </row>
    <row r="8" spans="1:29" x14ac:dyDescent="0.3">
      <c r="C8" t="s">
        <v>6</v>
      </c>
    </row>
    <row r="9" spans="1:29" x14ac:dyDescent="0.3">
      <c r="C9" t="s">
        <v>7</v>
      </c>
    </row>
    <row r="10" spans="1:29" x14ac:dyDescent="0.3">
      <c r="C10" t="s">
        <v>8</v>
      </c>
    </row>
    <row r="11" spans="1:29" x14ac:dyDescent="0.3">
      <c r="C11" t="s">
        <v>9</v>
      </c>
    </row>
    <row r="12" spans="1:29" x14ac:dyDescent="0.3">
      <c r="C12" t="s">
        <v>10</v>
      </c>
    </row>
    <row r="13" spans="1:29" x14ac:dyDescent="0.3">
      <c r="C13" t="s">
        <v>11</v>
      </c>
      <c r="W13" t="s">
        <v>11</v>
      </c>
    </row>
    <row r="16" spans="1:29" x14ac:dyDescent="0.3">
      <c r="G16" t="s">
        <v>53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E26E-6202-4EB3-92A0-34F5F314331E}">
  <dimension ref="A2:Q28"/>
  <sheetViews>
    <sheetView tabSelected="1" topLeftCell="A3" workbookViewId="0">
      <selection activeCell="M16" sqref="M16"/>
    </sheetView>
  </sheetViews>
  <sheetFormatPr defaultRowHeight="14.4" x14ac:dyDescent="0.3"/>
  <cols>
    <col min="1" max="1" width="12.5546875" customWidth="1"/>
    <col min="2" max="2" width="15.44140625" customWidth="1"/>
    <col min="3" max="3" width="12.44140625" customWidth="1"/>
    <col min="4" max="5" width="10.109375" customWidth="1"/>
    <col min="9" max="9" width="12.88671875" customWidth="1"/>
    <col min="10" max="10" width="12.6640625" customWidth="1"/>
    <col min="11" max="11" width="13.44140625" customWidth="1"/>
    <col min="13" max="13" width="13.6640625" customWidth="1"/>
    <col min="14" max="14" width="18.33203125" customWidth="1"/>
    <col min="15" max="15" width="13.6640625" customWidth="1"/>
    <col min="16" max="16" width="15.109375" customWidth="1"/>
  </cols>
  <sheetData>
    <row r="2" spans="1:17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H2" t="s">
        <v>113</v>
      </c>
      <c r="I2" t="s">
        <v>114</v>
      </c>
      <c r="J2" t="s">
        <v>115</v>
      </c>
      <c r="K2" t="s">
        <v>116</v>
      </c>
      <c r="M2" t="s">
        <v>136</v>
      </c>
      <c r="N2" t="s">
        <v>137</v>
      </c>
      <c r="O2" t="s">
        <v>115</v>
      </c>
      <c r="P2" t="s">
        <v>116</v>
      </c>
      <c r="Q2" t="s">
        <v>169</v>
      </c>
    </row>
    <row r="3" spans="1:17" x14ac:dyDescent="0.3">
      <c r="A3" t="s">
        <v>99</v>
      </c>
      <c r="B3" t="s">
        <v>90</v>
      </c>
      <c r="C3" t="s">
        <v>87</v>
      </c>
      <c r="D3" t="s">
        <v>77</v>
      </c>
      <c r="E3">
        <v>55000</v>
      </c>
      <c r="F3">
        <v>25</v>
      </c>
      <c r="H3" t="s">
        <v>117</v>
      </c>
      <c r="I3" t="s">
        <v>122</v>
      </c>
      <c r="J3" t="s">
        <v>135</v>
      </c>
      <c r="K3" t="s">
        <v>131</v>
      </c>
      <c r="M3" t="s">
        <v>138</v>
      </c>
      <c r="N3" t="s">
        <v>148</v>
      </c>
      <c r="O3" t="s">
        <v>135</v>
      </c>
      <c r="P3" t="s">
        <v>163</v>
      </c>
      <c r="Q3" t="s">
        <v>170</v>
      </c>
    </row>
    <row r="4" spans="1:17" x14ac:dyDescent="0.3">
      <c r="A4" t="s">
        <v>100</v>
      </c>
      <c r="B4" t="s">
        <v>91</v>
      </c>
      <c r="C4" t="s">
        <v>87</v>
      </c>
      <c r="D4" t="s">
        <v>78</v>
      </c>
      <c r="E4">
        <v>32000</v>
      </c>
      <c r="F4">
        <v>40</v>
      </c>
      <c r="H4" t="s">
        <v>118</v>
      </c>
      <c r="I4" t="s">
        <v>123</v>
      </c>
      <c r="J4" t="s">
        <v>127</v>
      </c>
      <c r="K4" t="s">
        <v>132</v>
      </c>
      <c r="M4" t="s">
        <v>139</v>
      </c>
      <c r="N4" t="s">
        <v>149</v>
      </c>
      <c r="O4" t="s">
        <v>127</v>
      </c>
      <c r="P4" t="s">
        <v>163</v>
      </c>
      <c r="Q4" t="s">
        <v>171</v>
      </c>
    </row>
    <row r="5" spans="1:17" x14ac:dyDescent="0.3">
      <c r="A5" t="s">
        <v>101</v>
      </c>
      <c r="B5" t="s">
        <v>92</v>
      </c>
      <c r="C5" t="s">
        <v>88</v>
      </c>
      <c r="D5" t="s">
        <v>79</v>
      </c>
      <c r="E5">
        <v>4500</v>
      </c>
      <c r="F5">
        <v>80</v>
      </c>
      <c r="H5" t="s">
        <v>119</v>
      </c>
      <c r="I5" t="s">
        <v>124</v>
      </c>
      <c r="J5" t="s">
        <v>128</v>
      </c>
      <c r="K5" t="s">
        <v>133</v>
      </c>
      <c r="M5" t="s">
        <v>140</v>
      </c>
      <c r="N5" t="s">
        <v>150</v>
      </c>
      <c r="O5" t="s">
        <v>128</v>
      </c>
      <c r="P5" t="s">
        <v>164</v>
      </c>
      <c r="Q5" t="s">
        <v>170</v>
      </c>
    </row>
    <row r="6" spans="1:17" x14ac:dyDescent="0.3">
      <c r="A6" t="s">
        <v>102</v>
      </c>
      <c r="B6" t="s">
        <v>93</v>
      </c>
      <c r="C6" t="s">
        <v>88</v>
      </c>
      <c r="D6" t="s">
        <v>80</v>
      </c>
      <c r="E6">
        <v>1800</v>
      </c>
      <c r="F6">
        <v>65</v>
      </c>
      <c r="H6" t="s">
        <v>120</v>
      </c>
      <c r="I6" t="s">
        <v>125</v>
      </c>
      <c r="J6" t="s">
        <v>129</v>
      </c>
      <c r="K6" t="s">
        <v>133</v>
      </c>
      <c r="M6" t="s">
        <v>141</v>
      </c>
      <c r="N6" t="s">
        <v>151</v>
      </c>
      <c r="O6" t="s">
        <v>129</v>
      </c>
      <c r="P6" t="s">
        <v>164</v>
      </c>
      <c r="Q6" t="s">
        <v>171</v>
      </c>
    </row>
    <row r="7" spans="1:17" x14ac:dyDescent="0.3">
      <c r="A7" t="s">
        <v>103</v>
      </c>
      <c r="B7" t="s">
        <v>94</v>
      </c>
      <c r="C7" t="s">
        <v>87</v>
      </c>
      <c r="D7" t="s">
        <v>81</v>
      </c>
      <c r="E7">
        <v>900</v>
      </c>
      <c r="F7">
        <v>120</v>
      </c>
      <c r="H7" t="s">
        <v>121</v>
      </c>
      <c r="I7" t="s">
        <v>126</v>
      </c>
      <c r="J7" t="s">
        <v>130</v>
      </c>
      <c r="K7" t="s">
        <v>134</v>
      </c>
      <c r="M7" t="s">
        <v>142</v>
      </c>
      <c r="N7" t="s">
        <v>152</v>
      </c>
      <c r="O7" t="s">
        <v>130</v>
      </c>
      <c r="P7" t="s">
        <v>165</v>
      </c>
      <c r="Q7" t="s">
        <v>170</v>
      </c>
    </row>
    <row r="8" spans="1:17" x14ac:dyDescent="0.3">
      <c r="A8" t="s">
        <v>104</v>
      </c>
      <c r="B8" t="s">
        <v>95</v>
      </c>
      <c r="C8" t="s">
        <v>89</v>
      </c>
      <c r="D8" t="s">
        <v>82</v>
      </c>
      <c r="E8">
        <v>12500</v>
      </c>
      <c r="F8">
        <v>18</v>
      </c>
      <c r="M8" t="s">
        <v>143</v>
      </c>
      <c r="N8" t="s">
        <v>153</v>
      </c>
      <c r="O8" t="s">
        <v>158</v>
      </c>
      <c r="P8" t="s">
        <v>158</v>
      </c>
      <c r="Q8" t="s">
        <v>171</v>
      </c>
    </row>
    <row r="9" spans="1:17" x14ac:dyDescent="0.3">
      <c r="A9" t="s">
        <v>105</v>
      </c>
      <c r="B9" t="s">
        <v>96</v>
      </c>
      <c r="C9" t="s">
        <v>89</v>
      </c>
      <c r="D9" t="s">
        <v>83</v>
      </c>
      <c r="E9">
        <v>8500</v>
      </c>
      <c r="F9">
        <v>20</v>
      </c>
      <c r="J9" t="s">
        <v>53</v>
      </c>
      <c r="M9" t="s">
        <v>144</v>
      </c>
      <c r="N9" t="s">
        <v>154</v>
      </c>
      <c r="O9" t="s">
        <v>159</v>
      </c>
      <c r="P9" t="s">
        <v>166</v>
      </c>
      <c r="Q9" t="s">
        <v>170</v>
      </c>
    </row>
    <row r="10" spans="1:17" x14ac:dyDescent="0.3">
      <c r="A10" t="s">
        <v>106</v>
      </c>
      <c r="B10" t="s">
        <v>97</v>
      </c>
      <c r="C10" t="s">
        <v>87</v>
      </c>
      <c r="D10" t="s">
        <v>84</v>
      </c>
      <c r="E10">
        <v>12000</v>
      </c>
      <c r="F10">
        <v>15</v>
      </c>
      <c r="I10" t="s">
        <v>113</v>
      </c>
      <c r="M10" t="s">
        <v>145</v>
      </c>
      <c r="N10" t="s">
        <v>155</v>
      </c>
      <c r="O10" t="s">
        <v>160</v>
      </c>
      <c r="P10" t="s">
        <v>167</v>
      </c>
      <c r="Q10" t="s">
        <v>171</v>
      </c>
    </row>
    <row r="11" spans="1:17" x14ac:dyDescent="0.3">
      <c r="A11" t="s">
        <v>107</v>
      </c>
      <c r="B11" t="s">
        <v>98</v>
      </c>
      <c r="C11" t="s">
        <v>87</v>
      </c>
      <c r="D11" t="s">
        <v>85</v>
      </c>
      <c r="E11">
        <v>16000</v>
      </c>
      <c r="F11">
        <v>30</v>
      </c>
      <c r="I11" t="s">
        <v>119</v>
      </c>
      <c r="J11" t="str">
        <f>INDEX(I2:I7,MATCH(I11,H2:H7,0))</f>
        <v>CENTRAL</v>
      </c>
      <c r="M11" t="s">
        <v>146</v>
      </c>
      <c r="N11" t="s">
        <v>156</v>
      </c>
      <c r="O11" t="s">
        <v>161</v>
      </c>
      <c r="P11" t="s">
        <v>163</v>
      </c>
      <c r="Q11" t="s">
        <v>170</v>
      </c>
    </row>
    <row r="12" spans="1:17" x14ac:dyDescent="0.3">
      <c r="A12" t="s">
        <v>108</v>
      </c>
      <c r="B12" t="s">
        <v>93</v>
      </c>
      <c r="C12" t="s">
        <v>88</v>
      </c>
      <c r="D12" t="s">
        <v>86</v>
      </c>
      <c r="E12">
        <v>3500</v>
      </c>
      <c r="F12">
        <v>50</v>
      </c>
      <c r="M12" t="s">
        <v>147</v>
      </c>
      <c r="N12" t="s">
        <v>157</v>
      </c>
      <c r="O12" t="s">
        <v>162</v>
      </c>
      <c r="P12" t="s">
        <v>168</v>
      </c>
      <c r="Q12" t="s">
        <v>171</v>
      </c>
    </row>
    <row r="13" spans="1:17" x14ac:dyDescent="0.3">
      <c r="I13" t="s">
        <v>109</v>
      </c>
    </row>
    <row r="14" spans="1:17" x14ac:dyDescent="0.3">
      <c r="I14" t="s">
        <v>113</v>
      </c>
      <c r="N14" t="s">
        <v>53</v>
      </c>
    </row>
    <row r="15" spans="1:17" x14ac:dyDescent="0.3">
      <c r="B15" t="s">
        <v>53</v>
      </c>
      <c r="C15" t="s">
        <v>71</v>
      </c>
      <c r="I15" t="s">
        <v>121</v>
      </c>
      <c r="J15" t="str">
        <f>INDEX(J2:J7,MATCH(I15,H2:H7,0))</f>
        <v>JAIPUR</v>
      </c>
      <c r="N15" t="s">
        <v>136</v>
      </c>
    </row>
    <row r="16" spans="1:17" x14ac:dyDescent="0.3">
      <c r="C16" t="s">
        <v>104</v>
      </c>
      <c r="D16" t="str">
        <f>INDEX(B2:B12,MATCH(C16,A2:A12,0))</f>
        <v>OFFICE CHAIR</v>
      </c>
      <c r="N16" t="s">
        <v>144</v>
      </c>
      <c r="O16" t="str">
        <f>INDEX(N2:N12,MATCH(N16,M2:M12,0))</f>
        <v>ROHAN GUPTA</v>
      </c>
    </row>
    <row r="17" spans="2:15" x14ac:dyDescent="0.3">
      <c r="I17" t="s">
        <v>110</v>
      </c>
    </row>
    <row r="18" spans="2:15" x14ac:dyDescent="0.3">
      <c r="B18" t="s">
        <v>109</v>
      </c>
      <c r="C18" t="s">
        <v>71</v>
      </c>
      <c r="I18" t="s">
        <v>113</v>
      </c>
      <c r="N18" t="s">
        <v>109</v>
      </c>
    </row>
    <row r="19" spans="2:15" x14ac:dyDescent="0.3">
      <c r="C19" t="s">
        <v>106</v>
      </c>
      <c r="D19">
        <f>INDEX(E2:E12,MATCH(C19,A2:A12,0))</f>
        <v>12000</v>
      </c>
      <c r="I19" t="s">
        <v>118</v>
      </c>
      <c r="J19" t="str">
        <f>INDEX(K2:K7,MATCH(I19,H2:H7,0))</f>
        <v>GURAT</v>
      </c>
      <c r="N19" t="s">
        <v>136</v>
      </c>
    </row>
    <row r="20" spans="2:15" x14ac:dyDescent="0.3">
      <c r="N20" t="s">
        <v>147</v>
      </c>
      <c r="O20" t="str">
        <f>INDEX(O2:O12,MATCH(N20,M2:M12,0))</f>
        <v>KOCHI</v>
      </c>
    </row>
    <row r="21" spans="2:15" x14ac:dyDescent="0.3">
      <c r="B21" t="s">
        <v>110</v>
      </c>
      <c r="C21" t="s">
        <v>71</v>
      </c>
    </row>
    <row r="22" spans="2:15" x14ac:dyDescent="0.3">
      <c r="C22" t="s">
        <v>101</v>
      </c>
      <c r="D22" t="str">
        <f>INDEX(D2:D12,MATCH(C22,A2:A12,0))</f>
        <v>SONY</v>
      </c>
      <c r="N22" t="s">
        <v>110</v>
      </c>
    </row>
    <row r="23" spans="2:15" x14ac:dyDescent="0.3">
      <c r="B23" t="s">
        <v>111</v>
      </c>
      <c r="N23" t="s">
        <v>136</v>
      </c>
    </row>
    <row r="24" spans="2:15" x14ac:dyDescent="0.3">
      <c r="C24" t="s">
        <v>71</v>
      </c>
      <c r="N24" t="s">
        <v>140</v>
      </c>
      <c r="O24" t="str">
        <f>INDEX(P2:P12,MATCH(N24,M2:M12,0))</f>
        <v>MAHARASHTRA</v>
      </c>
    </row>
    <row r="25" spans="2:15" x14ac:dyDescent="0.3">
      <c r="C25" t="s">
        <v>103</v>
      </c>
      <c r="D25">
        <f>INDEX(F2:F12,MATCH(C25,A2:A12,0))</f>
        <v>120</v>
      </c>
    </row>
    <row r="26" spans="2:15" x14ac:dyDescent="0.3">
      <c r="N26" t="s">
        <v>111</v>
      </c>
    </row>
    <row r="27" spans="2:15" x14ac:dyDescent="0.3">
      <c r="B27" t="s">
        <v>112</v>
      </c>
      <c r="C27" t="s">
        <v>71</v>
      </c>
      <c r="N27" t="s">
        <v>136</v>
      </c>
    </row>
    <row r="28" spans="2:15" x14ac:dyDescent="0.3">
      <c r="C28" t="s">
        <v>102</v>
      </c>
      <c r="D28" t="str">
        <f>INDEX(C2:C12,MATCH(C28,A2:A12,0))</f>
        <v>ACCESSORIES</v>
      </c>
      <c r="N28" t="s">
        <v>143</v>
      </c>
      <c r="O28" t="str">
        <f>INDEX(Q2:Q12,MATCH(N28,M2:M12,0))</f>
        <v>FEMALE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18C2-1A9A-46FF-8E24-5E030877A352}">
  <dimension ref="A1:A17"/>
  <sheetViews>
    <sheetView workbookViewId="0">
      <selection activeCell="H12" sqref="H12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40</v>
      </c>
    </row>
    <row r="6" spans="1:1" x14ac:dyDescent="0.3">
      <c r="A6" t="s">
        <v>41</v>
      </c>
    </row>
    <row r="7" spans="1:1" x14ac:dyDescent="0.3">
      <c r="A7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2" spans="1:1" x14ac:dyDescent="0.3">
      <c r="A12" t="s">
        <v>47</v>
      </c>
    </row>
    <row r="13" spans="1:1" x14ac:dyDescent="0.3">
      <c r="A13" t="s">
        <v>48</v>
      </c>
    </row>
    <row r="14" spans="1:1" x14ac:dyDescent="0.3">
      <c r="A14" t="s">
        <v>49</v>
      </c>
    </row>
    <row r="15" spans="1:1" x14ac:dyDescent="0.3">
      <c r="A15" t="s">
        <v>50</v>
      </c>
    </row>
    <row r="16" spans="1:1" x14ac:dyDescent="0.3">
      <c r="A16" t="s">
        <v>51</v>
      </c>
    </row>
    <row r="17" spans="1:1" x14ac:dyDescent="0.3">
      <c r="A1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7652-847F-4A22-93E4-75C2285858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2026-07-28T17:43:53Z</dcterms:created>
  <dcterms:modified xsi:type="dcterms:W3CDTF">2026-07-28T19:05:58Z</dcterms:modified>
</cp:coreProperties>
</file>