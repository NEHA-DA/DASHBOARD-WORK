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DC4\Desktop\"/>
    </mc:Choice>
  </mc:AlternateContent>
  <xr:revisionPtr revIDLastSave="0" documentId="8_{FCD87D97-65B8-4FEB-8E55-F6FE239494EA}" xr6:coauthVersionLast="47" xr6:coauthVersionMax="47" xr10:uidLastSave="{00000000-0000-0000-0000-000000000000}"/>
  <bookViews>
    <workbookView xWindow="-120" yWindow="-120" windowWidth="20730" windowHeight="11040" firstSheet="2" activeTab="9" xr2:uid="{00000000-000D-0000-FFFF-FFFF00000000}"/>
  </bookViews>
  <sheets>
    <sheet name="Instructions" sheetId="1" r:id="rId1"/>
    <sheet name="Sales_Data" sheetId="2" r:id="rId2"/>
    <sheet name="Sheet2" sheetId="7" r:id="rId3"/>
    <sheet name="Sheet5" sheetId="10" r:id="rId4"/>
    <sheet name="Sheet7" sheetId="12" r:id="rId5"/>
    <sheet name="Product_Master" sheetId="3" r:id="rId6"/>
    <sheet name="Sheet3" sheetId="8" r:id="rId7"/>
    <sheet name="Student_Marks" sheetId="4" r:id="rId8"/>
    <sheet name="Questions" sheetId="5" r:id="rId9"/>
    <sheet name="Sheet8" sheetId="13" r:id="rId10"/>
    <sheet name="Sheet6" sheetId="11" r:id="rId11"/>
    <sheet name="Sheet1" sheetId="6" r:id="rId12"/>
    <sheet name="Sheet4" sheetId="9" r:id="rId13"/>
  </sheet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" i="13" l="1"/>
  <c r="I8" i="13"/>
  <c r="I7" i="13"/>
  <c r="I6" i="13"/>
  <c r="I5" i="13"/>
  <c r="I4" i="13"/>
  <c r="I30" i="12"/>
  <c r="I31" i="12"/>
  <c r="I32" i="12"/>
  <c r="I33" i="12"/>
  <c r="I29" i="12"/>
  <c r="H22" i="12"/>
  <c r="H23" i="12"/>
  <c r="H24" i="12"/>
  <c r="H25" i="12"/>
  <c r="H21" i="12"/>
  <c r="I17" i="12"/>
  <c r="I16" i="12"/>
  <c r="I15" i="12"/>
  <c r="I14" i="12"/>
  <c r="I13" i="12"/>
  <c r="I6" i="12"/>
  <c r="I7" i="12"/>
  <c r="I8" i="12"/>
  <c r="I5" i="12"/>
  <c r="I4" i="12"/>
  <c r="K75" i="10"/>
  <c r="K74" i="10"/>
  <c r="K73" i="10"/>
  <c r="K72" i="10"/>
  <c r="K71" i="10"/>
  <c r="K70" i="10"/>
  <c r="K62" i="10"/>
  <c r="K64" i="10"/>
  <c r="K66" i="10"/>
  <c r="K65" i="10"/>
  <c r="K63" i="10"/>
  <c r="K61" i="10"/>
  <c r="L51" i="10"/>
  <c r="L52" i="10"/>
  <c r="L53" i="10"/>
  <c r="L54" i="10"/>
  <c r="L55" i="10"/>
  <c r="L50" i="10"/>
  <c r="K55" i="10"/>
  <c r="K54" i="10"/>
  <c r="K53" i="10"/>
  <c r="K52" i="10"/>
  <c r="K51" i="10"/>
  <c r="K50" i="10"/>
  <c r="M41" i="10"/>
  <c r="M42" i="10"/>
  <c r="M43" i="10"/>
  <c r="M44" i="10"/>
  <c r="M45" i="10"/>
  <c r="M40" i="10"/>
  <c r="L41" i="10"/>
  <c r="L42" i="10"/>
  <c r="L43" i="10"/>
  <c r="L44" i="10"/>
  <c r="L45" i="10"/>
  <c r="L40" i="10"/>
  <c r="K45" i="10"/>
  <c r="K44" i="10"/>
  <c r="K43" i="10"/>
  <c r="K42" i="10"/>
  <c r="K41" i="10"/>
  <c r="K40" i="10"/>
  <c r="L30" i="10" a="1"/>
  <c r="L30" i="10" s="1"/>
  <c r="K35" i="10"/>
  <c r="K34" i="10"/>
  <c r="K33" i="10"/>
  <c r="K32" i="10"/>
  <c r="K31" i="10"/>
  <c r="K30" i="10"/>
  <c r="I8" i="6"/>
  <c r="I9" i="6"/>
  <c r="I10" i="6"/>
  <c r="I11" i="6"/>
  <c r="I7" i="6"/>
  <c r="N19" i="10"/>
  <c r="L24" i="10"/>
  <c r="K24" i="10"/>
  <c r="M24" i="10" s="1"/>
  <c r="L23" i="10"/>
  <c r="K23" i="10"/>
  <c r="M23" i="10" s="1"/>
  <c r="M22" i="10"/>
  <c r="L22" i="10"/>
  <c r="K22" i="10"/>
  <c r="L21" i="10"/>
  <c r="M21" i="10" s="1"/>
  <c r="K21" i="10"/>
  <c r="L20" i="10"/>
  <c r="K20" i="10"/>
  <c r="M20" i="10" s="1"/>
  <c r="M19" i="10"/>
  <c r="L19" i="10"/>
  <c r="K19" i="10"/>
  <c r="L12" i="9"/>
  <c r="K12" i="9"/>
  <c r="J12" i="9"/>
  <c r="L7" i="9"/>
  <c r="L8" i="9"/>
  <c r="L9" i="9"/>
  <c r="L10" i="9"/>
  <c r="L11" i="9"/>
  <c r="L6" i="9"/>
  <c r="K7" i="9"/>
  <c r="K8" i="9"/>
  <c r="K9" i="9"/>
  <c r="K10" i="9"/>
  <c r="K11" i="9"/>
  <c r="K6" i="9"/>
  <c r="J11" i="10"/>
  <c r="J10" i="10"/>
  <c r="K10" i="10" s="1"/>
  <c r="J11" i="9"/>
  <c r="J10" i="9"/>
  <c r="J9" i="9"/>
  <c r="J8" i="9"/>
  <c r="J7" i="9"/>
  <c r="J6" i="9"/>
  <c r="H12" i="8"/>
  <c r="J8" i="7"/>
  <c r="J9" i="7"/>
  <c r="J10" i="7"/>
  <c r="J11" i="7"/>
  <c r="J12" i="7"/>
  <c r="J7" i="7"/>
  <c r="J32" i="5"/>
  <c r="L10" i="10" l="1"/>
  <c r="K11" i="10"/>
  <c r="L11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<sst xmlns="http://schemas.openxmlformats.org/spreadsheetml/2006/main" count="563" uniqueCount="102">
  <si>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</si>
  <si>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</si>
  <si>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</si>
  <si>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</si>
  <si>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</si>
  <si>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</si>
  <si>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</si>
  <si>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</si>
  <si>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</si>
  <si>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</si>
  <si>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</si>
  <si>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</si>
  <si>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</si>
  <si>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</si>
  <si>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</si>
  <si>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</si>
  <si>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</si>
  <si>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</si>
  <si>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</si>
  <si>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</si>
  <si>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</si>
  <si>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</si>
  <si>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</si>
  <si>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</si>
  <si>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</si>
  <si>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</si>
  <si>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</si>
  <si>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</si>
  <si>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</si>
  <si>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</si>
  <si>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</si>
  <si>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</si>
  <si>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</si>
  <si>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</si>
  <si>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</si>
  <si>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</si>
  <si>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</si>
  <si>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</si>
  <si>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</si>
  <si>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</si>
  <si>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</si>
  <si>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</si>
  <si>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</si>
  <si>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</si>
  <si>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</si>
  <si>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</si>
  <si>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</si>
  <si>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</si>
  <si>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</si>
  <si>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</si>
  <si>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</si>
  <si>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</si>
  <si>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</si>
  <si>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</si>
  <si>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</si>
  <si>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</si>
  <si>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</si>
  <si>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</si>
  <si>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</si>
  <si>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</si>
  <si>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</si>
  <si>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</si>
  <si>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</si>
  <si>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</si>
  <si>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</si>
  <si>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</si>
  <si>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</si>
  <si>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</si>
  <si>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</si>
  <si>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</si>
  <si>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</si>
  <si>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</si>
  <si>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</si>
  <si>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qun:-1</t>
  </si>
  <si>
    <t xml:space="preserve"> calculate sales each of</t>
  </si>
  <si>
    <t>ordar</t>
  </si>
  <si>
    <t>Total sales</t>
  </si>
  <si>
    <t>qun:-2 calculate vlookup</t>
  </si>
  <si>
    <t>Gst</t>
  </si>
  <si>
    <t>GST</t>
  </si>
  <si>
    <t>QUN:-3 FIND OUT GST</t>
  </si>
  <si>
    <t>FINALGST</t>
  </si>
  <si>
    <t>Order_ID2</t>
  </si>
  <si>
    <t>Region3</t>
  </si>
  <si>
    <t>Salesperson4</t>
  </si>
  <si>
    <t>Product5</t>
  </si>
  <si>
    <t>Order_ID6</t>
  </si>
  <si>
    <t>Region7</t>
  </si>
  <si>
    <t>Salesperson2</t>
  </si>
  <si>
    <t>Column1</t>
  </si>
  <si>
    <t>QUN:1</t>
  </si>
  <si>
    <t>AVERAGE</t>
  </si>
  <si>
    <t>GRAND TOTAL</t>
  </si>
  <si>
    <t>COUNT</t>
  </si>
  <si>
    <t>QUN:-6</t>
  </si>
  <si>
    <t>min</t>
  </si>
  <si>
    <t>max</t>
  </si>
  <si>
    <t xml:space="preserve">avrange </t>
  </si>
  <si>
    <t>ELIGIBLE</t>
  </si>
  <si>
    <t>Row Labels</t>
  </si>
  <si>
    <t>Grand Total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</si>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</sst>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1" fontId="0" fillId="0" borderId="0" xfId="0" applyNumberFormat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[MS_Excel_Practical_Exam_Medium_Level.xlsx]Sheet8!PivotTable1</c:name>
    <c:fmtId val="1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Sheet8!$F$11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DC6-47C6-8EA2-F7F10C069BA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DC6-47C6-8EA2-F7F10C069BA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DC6-47C6-8EA2-F7F10C069B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Sheet8!$E$12:$E$15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Sheet8!$F$12:$F$15</c:f>
              <c:numCache>
                <c:formatCode>General</c:formatCode>
                <c:ptCount val="3"/>
                <c:pt idx="0">
                  <c:v>225000</c:v>
                </c:pt>
                <c:pt idx="1">
                  <c:v>135000</c:v>
                </c:pt>
                <c:pt idx="2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7-454C-97B2-6A1B6725D30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15</xdr:row>
      <xdr:rowOff>76200</xdr:rowOff>
    </xdr:from>
    <xdr:to>
      <xdr:col>9</xdr:col>
      <xdr:colOff>419100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BA958E-653E-5A7C-223E-8F097933A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4" refreshedDate="46217.488523726854" createdVersion="8" refreshedVersion="8" minRefreshableVersion="3" recordCount="6" xr:uid="{081093CC-D66B-4BF0-94AA-2619FF72B0FC}">
  <cacheSource type="worksheet">
    <worksheetSource ref="B3:I9" sheet="Sheet8"/>
  </cacheSource>
  <cacheFields count="8">
    <cacheField name="Order_ID" numFmtId="0">
      <sharedItems containsSemiMixedTypes="0" containsString="0" containsNumber="1" containsInteger="1" minValue="301" maxValue="306"/>
    </cacheField>
    <cacheField name="Region" numFmtId="0">
      <sharedItems/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Total sales" numFmtId="0">
      <sharedItems containsSemiMixedTypes="0" containsString="0" containsNumber="1" containsInteger="1" minValue="45000" maxValue="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s v="North"/>
    <s v="Amit"/>
    <x v="0"/>
    <n v="2"/>
    <n v="45000"/>
    <s v="05-01-2025"/>
    <n v="90000"/>
  </r>
  <r>
    <n v="306"/>
    <s v="South"/>
    <s v="Riya"/>
    <x v="0"/>
    <n v="2"/>
    <n v="45000"/>
    <s v="18-01-2025"/>
    <n v="90000"/>
  </r>
  <r>
    <n v="302"/>
    <s v="South"/>
    <s v="Riya"/>
    <x v="1"/>
    <n v="5"/>
    <n v="15000"/>
    <s v="07-01-2025"/>
    <n v="75000"/>
  </r>
  <r>
    <n v="305"/>
    <s v="North"/>
    <s v="Amit"/>
    <x v="1"/>
    <n v="4"/>
    <n v="15000"/>
    <s v="15-01-2025"/>
    <n v="60000"/>
  </r>
  <r>
    <n v="303"/>
    <s v="East"/>
    <s v="Kunal"/>
    <x v="2"/>
    <n v="3"/>
    <n v="18000"/>
    <s v="10-01-2025"/>
    <n v="54000"/>
  </r>
  <r>
    <n v="304"/>
    <s v="West"/>
    <s v="Neha"/>
    <x v="0"/>
    <n v="1"/>
    <n v="45000"/>
    <s v="12-01-2025"/>
    <n v="4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1ACE6-A265-4118-AC8F-9AACB66D789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11:F15" firstHeaderRow="1" firstDataRow="1" firstDataCol="1"/>
  <pivotFields count="8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7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2B74F3-8FFF-419E-8825-E89C22AB67E8}" name="Table1" displayName="Table1" ref="C5:M12" totalsRowCount="1">
  <autoFilter ref="C5:M11" xr:uid="{1C2B74F3-8FFF-419E-8825-E89C22AB67E8}"/>
  <tableColumns count="11">
    <tableColumn id="1" xr3:uid="{DAE21BB2-862A-4D11-8879-E3C44A885D4E}" name="Column1"/>
    <tableColumn id="2" xr3:uid="{80FE7548-4FD9-4266-B700-A5CBD2069E2E}" name="Region"/>
    <tableColumn id="3" xr3:uid="{EE21C9C8-0294-4A69-B893-D7918265D366}" name="Salesperson"/>
    <tableColumn id="4" xr3:uid="{12E93C92-B2F0-4D9C-81E2-2E05ED53A562}" name="Product"/>
    <tableColumn id="5" xr3:uid="{D0E2CEA5-9636-4C73-8A2B-1C4998334EB3}" name="Order_ID2"/>
    <tableColumn id="6" xr3:uid="{5D4116D6-1B57-4ADC-B02E-68CAB626DFCB}" name="Region3"/>
    <tableColumn id="7" xr3:uid="{D1E92E2F-1E31-4D43-838F-ECCA53683B52}" name="Salesperson4"/>
    <tableColumn id="8" xr3:uid="{D68C36D4-AF40-4B51-BA7D-031D8D20C274}" name="Product5">
      <calculatedColumnFormula>H6*G6</calculatedColumnFormula>
    </tableColumn>
    <tableColumn id="9" xr3:uid="{8CEF5ABC-387C-485E-A005-D086E5EBDE6E}" name="Order_ID6">
      <calculatedColumnFormula>J6*18%</calculatedColumnFormula>
    </tableColumn>
    <tableColumn id="10" xr3:uid="{A3F10475-CC04-4786-A985-CFE27C2DF941}" name="Region7">
      <calculatedColumnFormula>J6+K6</calculatedColumnFormula>
    </tableColumn>
    <tableColumn id="11" xr3:uid="{6617ADEA-7397-4D93-BB66-32929C447110}" name="Salesperson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D16" sqref="D16"/>
    </sheetView>
  </sheetViews>
  <sheetFormatPr defaultRowHeight="15" x14ac:dyDescent="0.25"/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FA54-5957-4A7B-A168-4F7E8356AED3}">
  <dimension ref="C4:J12"/>
  <sheetViews>
    <sheetView workbookViewId="0">
      <selection activeCell="C6" sqref="C6:J12"/>
    </sheetView>
  </sheetViews>
  <sheetFormatPr defaultRowHeight="15" x14ac:dyDescent="0.25"/>
  <cols>
    <col min="3" max="3" width="12.42578125" customWidth="1"/>
    <col min="4" max="5" width="12.5703125" customWidth="1"/>
    <col min="8" max="8" width="10.140625" bestFit="1" customWidth="1"/>
    <col min="9" max="9" width="13" customWidth="1"/>
    <col min="10" max="10" width="15.28515625" customWidth="1"/>
  </cols>
  <sheetData>
    <row r="4" spans="3:10" x14ac:dyDescent="0.25">
      <c r="C4" t="s">
        <v>73</v>
      </c>
      <c r="E4" t="s">
        <v>74</v>
      </c>
      <c r="G4" t="s">
        <v>75</v>
      </c>
    </row>
    <row r="6" spans="3:10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76</v>
      </c>
    </row>
    <row r="7" spans="3:10" x14ac:dyDescent="0.25">
      <c r="C7">
        <v>301</v>
      </c>
      <c r="D7" t="s">
        <v>11</v>
      </c>
      <c r="E7" t="s">
        <v>12</v>
      </c>
      <c r="F7" t="s">
        <v>13</v>
      </c>
      <c r="G7">
        <v>2</v>
      </c>
      <c r="H7">
        <v>45000</v>
      </c>
      <c r="I7" t="s">
        <v>14</v>
      </c>
      <c r="J7">
        <f>H7*G7</f>
        <v>90000</v>
      </c>
    </row>
    <row r="8" spans="3:10" x14ac:dyDescent="0.25">
      <c r="C8">
        <v>302</v>
      </c>
      <c r="D8" t="s">
        <v>15</v>
      </c>
      <c r="E8" t="s">
        <v>16</v>
      </c>
      <c r="F8" t="s">
        <v>17</v>
      </c>
      <c r="G8">
        <v>5</v>
      </c>
      <c r="H8">
        <v>15000</v>
      </c>
      <c r="I8" t="s">
        <v>18</v>
      </c>
      <c r="J8">
        <f t="shared" ref="J8:J12" si="0">H8*G8</f>
        <v>75000</v>
      </c>
    </row>
    <row r="9" spans="3:10" x14ac:dyDescent="0.25">
      <c r="C9">
        <v>303</v>
      </c>
      <c r="D9" t="s">
        <v>19</v>
      </c>
      <c r="E9" t="s">
        <v>20</v>
      </c>
      <c r="F9" t="s">
        <v>21</v>
      </c>
      <c r="G9">
        <v>3</v>
      </c>
      <c r="H9">
        <v>18000</v>
      </c>
      <c r="I9" t="s">
        <v>22</v>
      </c>
      <c r="J9">
        <f t="shared" si="0"/>
        <v>54000</v>
      </c>
    </row>
    <row r="10" spans="3:10" x14ac:dyDescent="0.25">
      <c r="C10">
        <v>304</v>
      </c>
      <c r="D10" t="s">
        <v>23</v>
      </c>
      <c r="E10" t="s">
        <v>24</v>
      </c>
      <c r="F10" t="s">
        <v>13</v>
      </c>
      <c r="G10">
        <v>1</v>
      </c>
      <c r="H10">
        <v>45000</v>
      </c>
      <c r="I10" t="s">
        <v>25</v>
      </c>
      <c r="J10">
        <f t="shared" si="0"/>
        <v>45000</v>
      </c>
    </row>
    <row r="11" spans="3:10" x14ac:dyDescent="0.25">
      <c r="C11">
        <v>305</v>
      </c>
      <c r="D11" t="s">
        <v>11</v>
      </c>
      <c r="E11" t="s">
        <v>12</v>
      </c>
      <c r="F11" t="s">
        <v>17</v>
      </c>
      <c r="G11">
        <v>4</v>
      </c>
      <c r="H11">
        <v>15000</v>
      </c>
      <c r="I11" t="s">
        <v>26</v>
      </c>
      <c r="J11">
        <f t="shared" si="0"/>
        <v>60000</v>
      </c>
    </row>
    <row r="12" spans="3:10" x14ac:dyDescent="0.25">
      <c r="C12">
        <v>306</v>
      </c>
      <c r="D12" t="s">
        <v>15</v>
      </c>
      <c r="E12" t="s">
        <v>16</v>
      </c>
      <c r="F12" t="s">
        <v>13</v>
      </c>
      <c r="G12">
        <v>2</v>
      </c>
      <c r="H12">
        <v>45000</v>
      </c>
      <c r="I12" t="s">
        <v>27</v>
      </c>
      <c r="J12">
        <f t="shared" si="0"/>
        <v>90000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694B-A48D-41EB-9826-393DAAC03A12}">
  <dimension ref="C3:N75"/>
  <sheetViews>
    <sheetView topLeftCell="A47" workbookViewId="0">
      <selection activeCell="D69" sqref="D69:K75"/>
    </sheetView>
  </sheetViews>
  <sheetFormatPr defaultRowHeight="15" x14ac:dyDescent="0.25"/>
  <cols>
    <col min="3" max="3" width="11.140625" customWidth="1"/>
    <col min="4" max="4" width="9.28515625" customWidth="1"/>
    <col min="5" max="5" width="13.85546875" customWidth="1"/>
    <col min="6" max="6" width="10" customWidth="1"/>
    <col min="7" max="7" width="10.85546875" customWidth="1"/>
    <col min="8" max="8" width="12.28515625" customWidth="1"/>
    <col min="9" max="9" width="12.85546875" customWidth="1"/>
    <col min="10" max="10" width="12.42578125" customWidth="1"/>
    <col min="11" max="11" width="12.85546875" customWidth="1"/>
    <col min="12" max="12" width="11.5703125" customWidth="1"/>
  </cols>
  <sheetData>
    <row r="3" spans="3:13" x14ac:dyDescent="0.25">
      <c r="C3" t="s">
        <v>45</v>
      </c>
    </row>
    <row r="5" spans="3:13" x14ac:dyDescent="0.25">
      <c r="C5" t="s">
        <v>89</v>
      </c>
      <c r="D5" t="s">
        <v>5</v>
      </c>
      <c r="E5" t="s">
        <v>6</v>
      </c>
      <c r="F5" t="s">
        <v>7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</row>
    <row r="6" spans="3:13" x14ac:dyDescent="0.25">
      <c r="C6">
        <v>301</v>
      </c>
      <c r="D6" t="s">
        <v>11</v>
      </c>
      <c r="E6" t="s">
        <v>12</v>
      </c>
      <c r="F6" t="s">
        <v>13</v>
      </c>
      <c r="G6">
        <v>301</v>
      </c>
      <c r="H6" t="s">
        <v>11</v>
      </c>
      <c r="I6" t="s">
        <v>12</v>
      </c>
      <c r="J6" t="s">
        <v>13</v>
      </c>
      <c r="K6">
        <v>301</v>
      </c>
      <c r="L6" t="s">
        <v>11</v>
      </c>
      <c r="M6" t="s">
        <v>12</v>
      </c>
    </row>
    <row r="7" spans="3:13" x14ac:dyDescent="0.25">
      <c r="C7">
        <v>302</v>
      </c>
      <c r="D7" t="s">
        <v>15</v>
      </c>
      <c r="E7" t="s">
        <v>16</v>
      </c>
      <c r="F7" t="s">
        <v>17</v>
      </c>
      <c r="G7">
        <v>302</v>
      </c>
      <c r="H7" t="s">
        <v>15</v>
      </c>
      <c r="I7" t="s">
        <v>16</v>
      </c>
      <c r="J7" t="s">
        <v>17</v>
      </c>
      <c r="K7">
        <v>302</v>
      </c>
      <c r="L7" t="s">
        <v>15</v>
      </c>
      <c r="M7" t="s">
        <v>16</v>
      </c>
    </row>
    <row r="8" spans="3:13" x14ac:dyDescent="0.25">
      <c r="C8">
        <v>303</v>
      </c>
      <c r="D8" t="s">
        <v>19</v>
      </c>
      <c r="E8" t="s">
        <v>20</v>
      </c>
      <c r="F8" t="s">
        <v>21</v>
      </c>
      <c r="G8">
        <v>303</v>
      </c>
      <c r="H8" t="s">
        <v>19</v>
      </c>
      <c r="I8" t="s">
        <v>20</v>
      </c>
      <c r="J8" t="s">
        <v>21</v>
      </c>
      <c r="K8">
        <v>303</v>
      </c>
      <c r="L8" t="s">
        <v>19</v>
      </c>
      <c r="M8" t="s">
        <v>20</v>
      </c>
    </row>
    <row r="9" spans="3:13" x14ac:dyDescent="0.25">
      <c r="C9">
        <v>304</v>
      </c>
      <c r="D9" t="s">
        <v>23</v>
      </c>
      <c r="E9" t="s">
        <v>24</v>
      </c>
      <c r="F9" t="s">
        <v>13</v>
      </c>
      <c r="G9">
        <v>304</v>
      </c>
      <c r="H9" t="s">
        <v>23</v>
      </c>
      <c r="I9" t="s">
        <v>24</v>
      </c>
      <c r="J9" t="s">
        <v>13</v>
      </c>
      <c r="K9">
        <v>304</v>
      </c>
      <c r="L9" t="s">
        <v>23</v>
      </c>
      <c r="M9" t="s">
        <v>24</v>
      </c>
    </row>
    <row r="10" spans="3:13" x14ac:dyDescent="0.25">
      <c r="C10">
        <v>305</v>
      </c>
      <c r="D10" t="s">
        <v>11</v>
      </c>
      <c r="E10" t="s">
        <v>12</v>
      </c>
      <c r="F10" t="s">
        <v>17</v>
      </c>
      <c r="G10">
        <v>4</v>
      </c>
      <c r="H10">
        <v>15000</v>
      </c>
      <c r="I10" t="s">
        <v>26</v>
      </c>
      <c r="J10">
        <f t="shared" ref="J10:J11" si="0">H10*G10</f>
        <v>60000</v>
      </c>
      <c r="K10">
        <f t="shared" ref="K10:K11" si="1">J10*18%</f>
        <v>10800</v>
      </c>
      <c r="L10">
        <f>J10+K10</f>
        <v>70800</v>
      </c>
    </row>
    <row r="11" spans="3:13" x14ac:dyDescent="0.25">
      <c r="C11">
        <v>306</v>
      </c>
      <c r="D11" t="s">
        <v>15</v>
      </c>
      <c r="E11" t="s">
        <v>16</v>
      </c>
      <c r="F11" t="s">
        <v>13</v>
      </c>
      <c r="G11">
        <v>2</v>
      </c>
      <c r="H11">
        <v>45000</v>
      </c>
      <c r="I11" t="s">
        <v>27</v>
      </c>
      <c r="J11">
        <f t="shared" si="0"/>
        <v>90000</v>
      </c>
      <c r="K11">
        <f t="shared" si="1"/>
        <v>16200</v>
      </c>
      <c r="L11">
        <f>J11+K11</f>
        <v>106200</v>
      </c>
    </row>
    <row r="16" spans="3:13" x14ac:dyDescent="0.25">
      <c r="D16" t="s">
        <v>46</v>
      </c>
    </row>
    <row r="18" spans="4:14" x14ac:dyDescent="0.25">
      <c r="D18" t="s">
        <v>4</v>
      </c>
      <c r="E18" t="s">
        <v>5</v>
      </c>
      <c r="F18" t="s">
        <v>6</v>
      </c>
      <c r="G18" t="s">
        <v>7</v>
      </c>
      <c r="H18" t="s">
        <v>8</v>
      </c>
      <c r="I18" t="s">
        <v>9</v>
      </c>
      <c r="J18" t="s">
        <v>10</v>
      </c>
      <c r="K18" t="s">
        <v>76</v>
      </c>
      <c r="L18" t="s">
        <v>79</v>
      </c>
      <c r="M18" t="s">
        <v>81</v>
      </c>
      <c r="N18" t="s">
        <v>93</v>
      </c>
    </row>
    <row r="19" spans="4:14" x14ac:dyDescent="0.25">
      <c r="D19">
        <v>301</v>
      </c>
      <c r="E19" t="s">
        <v>11</v>
      </c>
      <c r="F19" t="s">
        <v>12</v>
      </c>
      <c r="G19" t="s">
        <v>13</v>
      </c>
      <c r="H19">
        <v>2</v>
      </c>
      <c r="I19">
        <v>45000</v>
      </c>
      <c r="J19" t="s">
        <v>14</v>
      </c>
      <c r="K19">
        <f>I19*H19</f>
        <v>90000</v>
      </c>
      <c r="L19">
        <f>VLOOKUP(G19,Product_Master!$A$1:$C$4,3,FALSE*Sales_Data!G15)</f>
        <v>18</v>
      </c>
      <c r="M19">
        <f>K19+L19</f>
        <v>90018</v>
      </c>
      <c r="N19">
        <f>COUNT(D18:D24)</f>
        <v>6</v>
      </c>
    </row>
    <row r="20" spans="4:14" x14ac:dyDescent="0.25">
      <c r="D20">
        <v>302</v>
      </c>
      <c r="E20" t="s">
        <v>15</v>
      </c>
      <c r="F20" t="s">
        <v>16</v>
      </c>
      <c r="G20" t="s">
        <v>17</v>
      </c>
      <c r="H20">
        <v>5</v>
      </c>
      <c r="I20">
        <v>15000</v>
      </c>
      <c r="J20" t="s">
        <v>18</v>
      </c>
      <c r="K20">
        <f t="shared" ref="K20:K24" si="2">I20*H20</f>
        <v>75000</v>
      </c>
      <c r="L20">
        <f>VLOOKUP(G20,Product_Master!$A$1:$C$4,3,FALSE*Sales_Data!G16)</f>
        <v>12</v>
      </c>
      <c r="M20">
        <f t="shared" ref="M20:M24" si="3">K20+L20</f>
        <v>75012</v>
      </c>
    </row>
    <row r="21" spans="4:14" x14ac:dyDescent="0.25">
      <c r="D21">
        <v>303</v>
      </c>
      <c r="E21" t="s">
        <v>19</v>
      </c>
      <c r="F21" t="s">
        <v>20</v>
      </c>
      <c r="G21" t="s">
        <v>21</v>
      </c>
      <c r="H21">
        <v>3</v>
      </c>
      <c r="I21">
        <v>18000</v>
      </c>
      <c r="J21" t="s">
        <v>22</v>
      </c>
      <c r="K21">
        <f t="shared" si="2"/>
        <v>54000</v>
      </c>
      <c r="L21">
        <f>VLOOKUP(G21,Product_Master!$A$1:$C$4,3,FALSE*Sales_Data!G17)</f>
        <v>12</v>
      </c>
      <c r="M21">
        <f t="shared" si="3"/>
        <v>54012</v>
      </c>
    </row>
    <row r="22" spans="4:14" x14ac:dyDescent="0.25">
      <c r="D22">
        <v>304</v>
      </c>
      <c r="E22" t="s">
        <v>23</v>
      </c>
      <c r="F22" t="s">
        <v>24</v>
      </c>
      <c r="G22" t="s">
        <v>13</v>
      </c>
      <c r="H22">
        <v>1</v>
      </c>
      <c r="I22">
        <v>45000</v>
      </c>
      <c r="J22" t="s">
        <v>25</v>
      </c>
      <c r="K22">
        <f t="shared" si="2"/>
        <v>45000</v>
      </c>
      <c r="L22">
        <f>VLOOKUP(G22,Product_Master!$A$1:$C$4,3,FALSE*Sales_Data!G18)</f>
        <v>18</v>
      </c>
      <c r="M22">
        <f t="shared" si="3"/>
        <v>45018</v>
      </c>
    </row>
    <row r="23" spans="4:14" x14ac:dyDescent="0.25">
      <c r="D23">
        <v>305</v>
      </c>
      <c r="E23" t="s">
        <v>11</v>
      </c>
      <c r="F23" t="s">
        <v>12</v>
      </c>
      <c r="G23" t="s">
        <v>17</v>
      </c>
      <c r="H23">
        <v>4</v>
      </c>
      <c r="I23">
        <v>15000</v>
      </c>
      <c r="J23" t="s">
        <v>26</v>
      </c>
      <c r="K23">
        <f t="shared" si="2"/>
        <v>60000</v>
      </c>
      <c r="L23">
        <f>VLOOKUP(G23,Product_Master!$A$1:$C$4,3,FALSE*Sales_Data!G19)</f>
        <v>12</v>
      </c>
      <c r="M23">
        <f t="shared" si="3"/>
        <v>60012</v>
      </c>
    </row>
    <row r="24" spans="4:14" x14ac:dyDescent="0.25">
      <c r="D24">
        <v>306</v>
      </c>
      <c r="E24" t="s">
        <v>15</v>
      </c>
      <c r="F24" t="s">
        <v>16</v>
      </c>
      <c r="G24" t="s">
        <v>13</v>
      </c>
      <c r="H24">
        <v>2</v>
      </c>
      <c r="I24">
        <v>45000</v>
      </c>
      <c r="J24" t="s">
        <v>27</v>
      </c>
      <c r="K24">
        <f t="shared" si="2"/>
        <v>90000</v>
      </c>
      <c r="L24">
        <f>VLOOKUP(G24,Product_Master!$A$1:$C$4,3,FALSE*Sales_Data!G20)</f>
        <v>18</v>
      </c>
      <c r="M24">
        <f t="shared" si="3"/>
        <v>90018</v>
      </c>
    </row>
    <row r="28" spans="4:14" x14ac:dyDescent="0.25">
      <c r="D28">
        <v>7</v>
      </c>
      <c r="E28" t="s">
        <v>48</v>
      </c>
    </row>
    <row r="29" spans="4:14" x14ac:dyDescent="0.25">
      <c r="D29" t="s">
        <v>4</v>
      </c>
      <c r="E29" t="s">
        <v>5</v>
      </c>
      <c r="F29" t="s">
        <v>6</v>
      </c>
      <c r="G29" t="s">
        <v>7</v>
      </c>
      <c r="H29" t="s">
        <v>8</v>
      </c>
      <c r="I29" t="s">
        <v>9</v>
      </c>
      <c r="J29" t="s">
        <v>10</v>
      </c>
      <c r="K29" t="s">
        <v>76</v>
      </c>
    </row>
    <row r="30" spans="4:14" x14ac:dyDescent="0.25">
      <c r="D30">
        <v>301</v>
      </c>
      <c r="E30" t="s">
        <v>11</v>
      </c>
      <c r="F30" t="s">
        <v>12</v>
      </c>
      <c r="G30" t="s">
        <v>13</v>
      </c>
      <c r="H30">
        <v>2</v>
      </c>
      <c r="I30">
        <v>45000</v>
      </c>
      <c r="J30" t="s">
        <v>14</v>
      </c>
      <c r="K30">
        <f>I30*H30</f>
        <v>90000</v>
      </c>
      <c r="L30" t="str" cm="1">
        <f t="array" ref="L30:L35">IF(H30:H35&lt;3,"high","low")</f>
        <v>high</v>
      </c>
    </row>
    <row r="31" spans="4:14" x14ac:dyDescent="0.25">
      <c r="D31">
        <v>302</v>
      </c>
      <c r="E31" t="s">
        <v>15</v>
      </c>
      <c r="F31" t="s">
        <v>16</v>
      </c>
      <c r="G31" t="s">
        <v>17</v>
      </c>
      <c r="H31">
        <v>5</v>
      </c>
      <c r="I31">
        <v>15000</v>
      </c>
      <c r="J31" t="s">
        <v>18</v>
      </c>
      <c r="K31">
        <f t="shared" ref="K31:K35" si="4">I31*H31</f>
        <v>75000</v>
      </c>
      <c r="L31" t="str">
        <v>low</v>
      </c>
    </row>
    <row r="32" spans="4:14" x14ac:dyDescent="0.25">
      <c r="D32">
        <v>303</v>
      </c>
      <c r="E32" t="s">
        <v>19</v>
      </c>
      <c r="F32" t="s">
        <v>20</v>
      </c>
      <c r="G32" t="s">
        <v>21</v>
      </c>
      <c r="H32">
        <v>3</v>
      </c>
      <c r="I32">
        <v>18000</v>
      </c>
      <c r="J32" t="s">
        <v>22</v>
      </c>
      <c r="K32">
        <f t="shared" si="4"/>
        <v>54000</v>
      </c>
      <c r="L32" t="str">
        <v>low</v>
      </c>
    </row>
    <row r="33" spans="4:13" x14ac:dyDescent="0.25">
      <c r="D33">
        <v>304</v>
      </c>
      <c r="E33" t="s">
        <v>23</v>
      </c>
      <c r="F33" t="s">
        <v>24</v>
      </c>
      <c r="G33" t="s">
        <v>13</v>
      </c>
      <c r="H33">
        <v>1</v>
      </c>
      <c r="I33">
        <v>45000</v>
      </c>
      <c r="J33" t="s">
        <v>25</v>
      </c>
      <c r="K33">
        <f t="shared" si="4"/>
        <v>45000</v>
      </c>
      <c r="L33" t="str">
        <v>high</v>
      </c>
    </row>
    <row r="34" spans="4:13" x14ac:dyDescent="0.25">
      <c r="D34">
        <v>305</v>
      </c>
      <c r="E34" t="s">
        <v>11</v>
      </c>
      <c r="F34" t="s">
        <v>12</v>
      </c>
      <c r="G34" t="s">
        <v>17</v>
      </c>
      <c r="H34">
        <v>4</v>
      </c>
      <c r="I34">
        <v>15000</v>
      </c>
      <c r="J34" t="s">
        <v>26</v>
      </c>
      <c r="K34">
        <f t="shared" si="4"/>
        <v>60000</v>
      </c>
      <c r="L34" t="str">
        <v>low</v>
      </c>
    </row>
    <row r="35" spans="4:13" x14ac:dyDescent="0.25">
      <c r="D35">
        <v>306</v>
      </c>
      <c r="E35" t="s">
        <v>15</v>
      </c>
      <c r="F35" t="s">
        <v>16</v>
      </c>
      <c r="G35" t="s">
        <v>13</v>
      </c>
      <c r="H35">
        <v>2</v>
      </c>
      <c r="I35">
        <v>45000</v>
      </c>
      <c r="J35" t="s">
        <v>27</v>
      </c>
      <c r="K35">
        <f t="shared" si="4"/>
        <v>90000</v>
      </c>
      <c r="L35" t="str">
        <v>high</v>
      </c>
    </row>
    <row r="38" spans="4:13" x14ac:dyDescent="0.25">
      <c r="D38">
        <v>8</v>
      </c>
      <c r="E38" t="s">
        <v>49</v>
      </c>
    </row>
    <row r="39" spans="4:13" x14ac:dyDescent="0.25">
      <c r="D39" t="s">
        <v>4</v>
      </c>
      <c r="E39" t="s">
        <v>5</v>
      </c>
      <c r="F39" t="s">
        <v>6</v>
      </c>
      <c r="G39" t="s">
        <v>7</v>
      </c>
      <c r="H39" t="s">
        <v>8</v>
      </c>
      <c r="I39" t="s">
        <v>9</v>
      </c>
      <c r="J39" t="s">
        <v>10</v>
      </c>
      <c r="K39" t="s">
        <v>76</v>
      </c>
      <c r="L39" t="s">
        <v>95</v>
      </c>
      <c r="M39" t="s">
        <v>96</v>
      </c>
    </row>
    <row r="40" spans="4:13" x14ac:dyDescent="0.25">
      <c r="D40">
        <v>301</v>
      </c>
      <c r="E40" t="s">
        <v>11</v>
      </c>
      <c r="F40" t="s">
        <v>12</v>
      </c>
      <c r="G40" t="s">
        <v>13</v>
      </c>
      <c r="H40">
        <v>2</v>
      </c>
      <c r="I40">
        <v>45000</v>
      </c>
      <c r="J40" t="s">
        <v>14</v>
      </c>
      <c r="K40">
        <f>I40*H40</f>
        <v>90000</v>
      </c>
      <c r="L40">
        <f>MIN(K40)</f>
        <v>90000</v>
      </c>
      <c r="M40">
        <f>MAX(K40)</f>
        <v>90000</v>
      </c>
    </row>
    <row r="41" spans="4:13" x14ac:dyDescent="0.25">
      <c r="D41">
        <v>302</v>
      </c>
      <c r="E41" t="s">
        <v>15</v>
      </c>
      <c r="F41" t="s">
        <v>16</v>
      </c>
      <c r="G41" t="s">
        <v>17</v>
      </c>
      <c r="H41">
        <v>5</v>
      </c>
      <c r="I41">
        <v>15000</v>
      </c>
      <c r="J41" t="s">
        <v>18</v>
      </c>
      <c r="K41">
        <f t="shared" ref="K41:K45" si="5">I41*H41</f>
        <v>75000</v>
      </c>
      <c r="L41">
        <f t="shared" ref="L41:L45" si="6">MIN(K41)</f>
        <v>75000</v>
      </c>
      <c r="M41">
        <f t="shared" ref="M41:M45" si="7">MAX(K41)</f>
        <v>75000</v>
      </c>
    </row>
    <row r="42" spans="4:13" x14ac:dyDescent="0.25">
      <c r="D42">
        <v>303</v>
      </c>
      <c r="E42" t="s">
        <v>19</v>
      </c>
      <c r="F42" t="s">
        <v>20</v>
      </c>
      <c r="G42" t="s">
        <v>21</v>
      </c>
      <c r="H42">
        <v>3</v>
      </c>
      <c r="I42">
        <v>18000</v>
      </c>
      <c r="J42" t="s">
        <v>22</v>
      </c>
      <c r="K42">
        <f t="shared" si="5"/>
        <v>54000</v>
      </c>
      <c r="L42">
        <f t="shared" si="6"/>
        <v>54000</v>
      </c>
      <c r="M42">
        <f t="shared" si="7"/>
        <v>54000</v>
      </c>
    </row>
    <row r="43" spans="4:13" x14ac:dyDescent="0.25">
      <c r="D43">
        <v>304</v>
      </c>
      <c r="E43" t="s">
        <v>23</v>
      </c>
      <c r="F43" t="s">
        <v>24</v>
      </c>
      <c r="G43" t="s">
        <v>13</v>
      </c>
      <c r="H43">
        <v>1</v>
      </c>
      <c r="I43">
        <v>45000</v>
      </c>
      <c r="J43" t="s">
        <v>25</v>
      </c>
      <c r="K43">
        <f t="shared" si="5"/>
        <v>45000</v>
      </c>
      <c r="L43">
        <f t="shared" si="6"/>
        <v>45000</v>
      </c>
      <c r="M43">
        <f t="shared" si="7"/>
        <v>45000</v>
      </c>
    </row>
    <row r="44" spans="4:13" x14ac:dyDescent="0.25">
      <c r="D44">
        <v>305</v>
      </c>
      <c r="E44" t="s">
        <v>11</v>
      </c>
      <c r="F44" t="s">
        <v>12</v>
      </c>
      <c r="G44" t="s">
        <v>17</v>
      </c>
      <c r="H44">
        <v>4</v>
      </c>
      <c r="I44">
        <v>15000</v>
      </c>
      <c r="J44" t="s">
        <v>26</v>
      </c>
      <c r="K44">
        <f t="shared" si="5"/>
        <v>60000</v>
      </c>
      <c r="L44">
        <f t="shared" si="6"/>
        <v>60000</v>
      </c>
      <c r="M44">
        <f t="shared" si="7"/>
        <v>60000</v>
      </c>
    </row>
    <row r="45" spans="4:13" x14ac:dyDescent="0.25">
      <c r="D45">
        <v>306</v>
      </c>
      <c r="E45" t="s">
        <v>15</v>
      </c>
      <c r="F45" t="s">
        <v>16</v>
      </c>
      <c r="G45" t="s">
        <v>13</v>
      </c>
      <c r="H45">
        <v>2</v>
      </c>
      <c r="I45">
        <v>45000</v>
      </c>
      <c r="J45" t="s">
        <v>27</v>
      </c>
      <c r="K45">
        <f t="shared" si="5"/>
        <v>90000</v>
      </c>
      <c r="L45">
        <f t="shared" si="6"/>
        <v>90000</v>
      </c>
      <c r="M45">
        <f t="shared" si="7"/>
        <v>90000</v>
      </c>
    </row>
    <row r="48" spans="4:13" x14ac:dyDescent="0.25">
      <c r="D48">
        <v>9</v>
      </c>
      <c r="E48" t="s">
        <v>50</v>
      </c>
    </row>
    <row r="49" spans="4:12" x14ac:dyDescent="0.25">
      <c r="D49" t="s">
        <v>4</v>
      </c>
      <c r="E49" t="s">
        <v>5</v>
      </c>
      <c r="F49" t="s">
        <v>6</v>
      </c>
      <c r="G49" t="s">
        <v>7</v>
      </c>
      <c r="H49" t="s">
        <v>8</v>
      </c>
      <c r="I49" t="s">
        <v>9</v>
      </c>
      <c r="J49" t="s">
        <v>10</v>
      </c>
      <c r="K49" t="s">
        <v>76</v>
      </c>
    </row>
    <row r="50" spans="4:12" x14ac:dyDescent="0.25">
      <c r="D50">
        <v>301</v>
      </c>
      <c r="E50" t="s">
        <v>11</v>
      </c>
      <c r="F50" t="s">
        <v>12</v>
      </c>
      <c r="G50" t="s">
        <v>13</v>
      </c>
      <c r="H50">
        <v>2</v>
      </c>
      <c r="I50">
        <v>45000</v>
      </c>
      <c r="J50" t="s">
        <v>14</v>
      </c>
      <c r="K50">
        <f>I50*H50</f>
        <v>90000</v>
      </c>
      <c r="L50" t="str">
        <f>TEXT(J50,"mmmm")</f>
        <v>January</v>
      </c>
    </row>
    <row r="51" spans="4:12" x14ac:dyDescent="0.25">
      <c r="D51">
        <v>302</v>
      </c>
      <c r="E51" t="s">
        <v>15</v>
      </c>
      <c r="F51" t="s">
        <v>16</v>
      </c>
      <c r="G51" t="s">
        <v>17</v>
      </c>
      <c r="H51">
        <v>5</v>
      </c>
      <c r="I51">
        <v>15000</v>
      </c>
      <c r="J51" t="s">
        <v>18</v>
      </c>
      <c r="K51">
        <f t="shared" ref="K51:K55" si="8">I51*H51</f>
        <v>75000</v>
      </c>
      <c r="L51" t="str">
        <f t="shared" ref="L51:L55" si="9">TEXT(J51,"mmmm")</f>
        <v>January</v>
      </c>
    </row>
    <row r="52" spans="4:12" x14ac:dyDescent="0.25">
      <c r="D52">
        <v>303</v>
      </c>
      <c r="E52" t="s">
        <v>19</v>
      </c>
      <c r="F52" t="s">
        <v>20</v>
      </c>
      <c r="G52" t="s">
        <v>21</v>
      </c>
      <c r="H52">
        <v>3</v>
      </c>
      <c r="I52">
        <v>18000</v>
      </c>
      <c r="J52" t="s">
        <v>22</v>
      </c>
      <c r="K52">
        <f t="shared" si="8"/>
        <v>54000</v>
      </c>
      <c r="L52" t="str">
        <f t="shared" si="9"/>
        <v>January</v>
      </c>
    </row>
    <row r="53" spans="4:12" x14ac:dyDescent="0.25">
      <c r="D53">
        <v>304</v>
      </c>
      <c r="E53" t="s">
        <v>23</v>
      </c>
      <c r="F53" t="s">
        <v>24</v>
      </c>
      <c r="G53" t="s">
        <v>13</v>
      </c>
      <c r="H53">
        <v>1</v>
      </c>
      <c r="I53">
        <v>45000</v>
      </c>
      <c r="J53" t="s">
        <v>25</v>
      </c>
      <c r="K53">
        <f t="shared" si="8"/>
        <v>45000</v>
      </c>
      <c r="L53" t="str">
        <f t="shared" si="9"/>
        <v>January</v>
      </c>
    </row>
    <row r="54" spans="4:12" x14ac:dyDescent="0.25">
      <c r="D54">
        <v>305</v>
      </c>
      <c r="E54" t="s">
        <v>11</v>
      </c>
      <c r="F54" t="s">
        <v>12</v>
      </c>
      <c r="G54" t="s">
        <v>17</v>
      </c>
      <c r="H54">
        <v>4</v>
      </c>
      <c r="I54">
        <v>15000</v>
      </c>
      <c r="J54" t="s">
        <v>26</v>
      </c>
      <c r="K54">
        <f t="shared" si="8"/>
        <v>60000</v>
      </c>
      <c r="L54" t="str">
        <f t="shared" si="9"/>
        <v>January</v>
      </c>
    </row>
    <row r="55" spans="4:12" x14ac:dyDescent="0.25">
      <c r="D55">
        <v>306</v>
      </c>
      <c r="E55" t="s">
        <v>15</v>
      </c>
      <c r="F55" t="s">
        <v>16</v>
      </c>
      <c r="G55" t="s">
        <v>13</v>
      </c>
      <c r="H55">
        <v>2</v>
      </c>
      <c r="I55">
        <v>45000</v>
      </c>
      <c r="J55" t="s">
        <v>27</v>
      </c>
      <c r="K55">
        <f t="shared" si="8"/>
        <v>90000</v>
      </c>
      <c r="L55" t="str">
        <f t="shared" si="9"/>
        <v>January</v>
      </c>
    </row>
    <row r="59" spans="4:12" x14ac:dyDescent="0.25">
      <c r="D59">
        <v>10</v>
      </c>
      <c r="E59" t="s">
        <v>50</v>
      </c>
    </row>
    <row r="60" spans="4:12" x14ac:dyDescent="0.25">
      <c r="D60" t="s">
        <v>4</v>
      </c>
      <c r="E60" t="s">
        <v>5</v>
      </c>
      <c r="F60" t="s">
        <v>6</v>
      </c>
      <c r="G60" t="s">
        <v>7</v>
      </c>
      <c r="H60" t="s">
        <v>8</v>
      </c>
      <c r="I60" t="s">
        <v>9</v>
      </c>
      <c r="J60" t="s">
        <v>10</v>
      </c>
      <c r="K60" t="s">
        <v>76</v>
      </c>
    </row>
    <row r="61" spans="4:12" x14ac:dyDescent="0.25">
      <c r="D61">
        <v>301</v>
      </c>
      <c r="E61" t="s">
        <v>11</v>
      </c>
      <c r="F61" t="s">
        <v>12</v>
      </c>
      <c r="G61" t="s">
        <v>13</v>
      </c>
      <c r="H61">
        <v>2</v>
      </c>
      <c r="I61">
        <v>45000</v>
      </c>
      <c r="J61" t="s">
        <v>14</v>
      </c>
      <c r="K61">
        <f t="shared" ref="K61:K66" si="10">I61*H61</f>
        <v>90000</v>
      </c>
    </row>
    <row r="62" spans="4:12" x14ac:dyDescent="0.25">
      <c r="D62">
        <v>306</v>
      </c>
      <c r="E62" t="s">
        <v>15</v>
      </c>
      <c r="F62" t="s">
        <v>16</v>
      </c>
      <c r="G62" t="s">
        <v>13</v>
      </c>
      <c r="H62">
        <v>2</v>
      </c>
      <c r="I62">
        <v>45000</v>
      </c>
      <c r="J62" t="s">
        <v>27</v>
      </c>
      <c r="K62">
        <f t="shared" si="10"/>
        <v>90000</v>
      </c>
    </row>
    <row r="63" spans="4:12" x14ac:dyDescent="0.25">
      <c r="D63">
        <v>302</v>
      </c>
      <c r="E63" t="s">
        <v>15</v>
      </c>
      <c r="F63" t="s">
        <v>16</v>
      </c>
      <c r="G63" t="s">
        <v>17</v>
      </c>
      <c r="H63">
        <v>5</v>
      </c>
      <c r="I63">
        <v>15000</v>
      </c>
      <c r="J63" t="s">
        <v>18</v>
      </c>
      <c r="K63">
        <f t="shared" si="10"/>
        <v>75000</v>
      </c>
    </row>
    <row r="64" spans="4:12" x14ac:dyDescent="0.25">
      <c r="D64">
        <v>305</v>
      </c>
      <c r="E64" t="s">
        <v>11</v>
      </c>
      <c r="F64" t="s">
        <v>12</v>
      </c>
      <c r="G64" t="s">
        <v>17</v>
      </c>
      <c r="H64">
        <v>4</v>
      </c>
      <c r="I64">
        <v>15000</v>
      </c>
      <c r="J64" t="s">
        <v>26</v>
      </c>
      <c r="K64">
        <f t="shared" si="10"/>
        <v>60000</v>
      </c>
    </row>
    <row r="65" spans="4:11" x14ac:dyDescent="0.25">
      <c r="D65">
        <v>303</v>
      </c>
      <c r="E65" t="s">
        <v>19</v>
      </c>
      <c r="F65" t="s">
        <v>20</v>
      </c>
      <c r="G65" t="s">
        <v>21</v>
      </c>
      <c r="H65">
        <v>3</v>
      </c>
      <c r="I65">
        <v>18000</v>
      </c>
      <c r="J65" t="s">
        <v>22</v>
      </c>
      <c r="K65">
        <f t="shared" si="10"/>
        <v>54000</v>
      </c>
    </row>
    <row r="66" spans="4:11" x14ac:dyDescent="0.25">
      <c r="D66">
        <v>304</v>
      </c>
      <c r="E66" t="s">
        <v>23</v>
      </c>
      <c r="F66" t="s">
        <v>24</v>
      </c>
      <c r="G66" t="s">
        <v>13</v>
      </c>
      <c r="H66">
        <v>1</v>
      </c>
      <c r="I66">
        <v>45000</v>
      </c>
      <c r="J66" t="s">
        <v>25</v>
      </c>
      <c r="K66">
        <f t="shared" si="10"/>
        <v>45000</v>
      </c>
    </row>
    <row r="68" spans="4:11" x14ac:dyDescent="0.25">
      <c r="D68">
        <v>11</v>
      </c>
      <c r="E68" t="s">
        <v>52</v>
      </c>
    </row>
    <row r="69" spans="4:11" x14ac:dyDescent="0.25">
      <c r="D69" t="s">
        <v>4</v>
      </c>
      <c r="E69" t="s">
        <v>5</v>
      </c>
      <c r="F69" t="s">
        <v>6</v>
      </c>
      <c r="G69" t="s">
        <v>7</v>
      </c>
      <c r="H69" t="s">
        <v>8</v>
      </c>
      <c r="I69" t="s">
        <v>9</v>
      </c>
      <c r="J69" t="s">
        <v>10</v>
      </c>
      <c r="K69" t="s">
        <v>76</v>
      </c>
    </row>
    <row r="70" spans="4:11" x14ac:dyDescent="0.25">
      <c r="D70">
        <v>301</v>
      </c>
      <c r="E70" t="s">
        <v>11</v>
      </c>
      <c r="F70" t="s">
        <v>12</v>
      </c>
      <c r="G70" t="s">
        <v>13</v>
      </c>
      <c r="H70">
        <v>2</v>
      </c>
      <c r="I70">
        <v>45000</v>
      </c>
      <c r="J70" t="s">
        <v>14</v>
      </c>
      <c r="K70">
        <f t="shared" ref="K70:K75" si="11">I70*H70</f>
        <v>90000</v>
      </c>
    </row>
    <row r="71" spans="4:11" x14ac:dyDescent="0.25">
      <c r="D71">
        <v>306</v>
      </c>
      <c r="E71" t="s">
        <v>15</v>
      </c>
      <c r="F71" t="s">
        <v>16</v>
      </c>
      <c r="G71" t="s">
        <v>13</v>
      </c>
      <c r="H71">
        <v>2</v>
      </c>
      <c r="I71">
        <v>45000</v>
      </c>
      <c r="J71" t="s">
        <v>27</v>
      </c>
      <c r="K71">
        <f t="shared" si="11"/>
        <v>90000</v>
      </c>
    </row>
    <row r="72" spans="4:11" x14ac:dyDescent="0.25">
      <c r="D72">
        <v>302</v>
      </c>
      <c r="E72" t="s">
        <v>15</v>
      </c>
      <c r="F72" t="s">
        <v>16</v>
      </c>
      <c r="G72" t="s">
        <v>17</v>
      </c>
      <c r="H72">
        <v>5</v>
      </c>
      <c r="I72">
        <v>15000</v>
      </c>
      <c r="J72" t="s">
        <v>18</v>
      </c>
      <c r="K72">
        <f t="shared" si="11"/>
        <v>75000</v>
      </c>
    </row>
    <row r="73" spans="4:11" x14ac:dyDescent="0.25">
      <c r="D73">
        <v>305</v>
      </c>
      <c r="E73" t="s">
        <v>11</v>
      </c>
      <c r="F73" t="s">
        <v>12</v>
      </c>
      <c r="G73" t="s">
        <v>17</v>
      </c>
      <c r="H73">
        <v>4</v>
      </c>
      <c r="I73">
        <v>15000</v>
      </c>
      <c r="J73" t="s">
        <v>26</v>
      </c>
      <c r="K73">
        <f t="shared" si="11"/>
        <v>60000</v>
      </c>
    </row>
    <row r="74" spans="4:11" x14ac:dyDescent="0.25">
      <c r="D74">
        <v>303</v>
      </c>
      <c r="E74" t="s">
        <v>19</v>
      </c>
      <c r="F74" t="s">
        <v>20</v>
      </c>
      <c r="G74" t="s">
        <v>21</v>
      </c>
      <c r="H74">
        <v>3</v>
      </c>
      <c r="I74">
        <v>18000</v>
      </c>
      <c r="J74" t="s">
        <v>22</v>
      </c>
      <c r="K74">
        <f t="shared" si="11"/>
        <v>54000</v>
      </c>
    </row>
    <row r="75" spans="4:11" x14ac:dyDescent="0.25">
      <c r="D75">
        <v>304</v>
      </c>
      <c r="E75" t="s">
        <v>23</v>
      </c>
      <c r="F75" t="s">
        <v>24</v>
      </c>
      <c r="G75" t="s">
        <v>13</v>
      </c>
      <c r="H75">
        <v>1</v>
      </c>
      <c r="I75">
        <v>45000</v>
      </c>
      <c r="J75" t="s">
        <v>25</v>
      </c>
      <c r="K75">
        <f t="shared" si="11"/>
        <v>45000</v>
      </c>
    </row>
  </sheetData>
  <sortState xmlns:xlrd2="http://schemas.microsoft.com/office/spreadsheetml/2017/richdata2" ref="D61:K66">
    <sortCondition descending="1" ref="K61:K66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36FA-1BBF-451A-B09E-DD6C9A2E0D45}">
  <dimension ref="B2:I33"/>
  <sheetViews>
    <sheetView topLeftCell="A15" workbookViewId="0">
      <selection activeCell="I29" sqref="I29:I33"/>
    </sheetView>
  </sheetViews>
  <sheetFormatPr defaultRowHeight="15" x14ac:dyDescent="0.25"/>
  <cols>
    <col min="9" max="9" width="12" customWidth="1"/>
  </cols>
  <sheetData>
    <row r="2" spans="2:9" x14ac:dyDescent="0.25">
      <c r="B2">
        <v>12</v>
      </c>
      <c r="C2" t="s">
        <v>53</v>
      </c>
    </row>
    <row r="3" spans="2:9" x14ac:dyDescent="0.25"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I3" t="s">
        <v>97</v>
      </c>
    </row>
    <row r="4" spans="2:9" x14ac:dyDescent="0.25">
      <c r="B4">
        <v>1</v>
      </c>
      <c r="C4" t="s">
        <v>37</v>
      </c>
      <c r="D4">
        <v>78</v>
      </c>
      <c r="E4">
        <v>82</v>
      </c>
      <c r="F4">
        <v>85</v>
      </c>
      <c r="G4">
        <v>92</v>
      </c>
      <c r="I4">
        <f>AVERAGE(D4:F4)</f>
        <v>81.666666666666671</v>
      </c>
    </row>
    <row r="5" spans="2:9" x14ac:dyDescent="0.25">
      <c r="B5">
        <v>2</v>
      </c>
      <c r="C5" t="s">
        <v>38</v>
      </c>
      <c r="D5">
        <v>88</v>
      </c>
      <c r="E5">
        <v>91</v>
      </c>
      <c r="F5">
        <v>90</v>
      </c>
      <c r="G5">
        <v>96</v>
      </c>
      <c r="I5">
        <f>AVERAGE(D5:F5)</f>
        <v>89.666666666666671</v>
      </c>
    </row>
    <row r="6" spans="2:9" x14ac:dyDescent="0.25">
      <c r="B6">
        <v>3</v>
      </c>
      <c r="C6" t="s">
        <v>39</v>
      </c>
      <c r="D6">
        <v>65</v>
      </c>
      <c r="E6">
        <v>70</v>
      </c>
      <c r="F6">
        <v>72</v>
      </c>
      <c r="G6">
        <v>85</v>
      </c>
      <c r="I6">
        <f t="shared" ref="I6:I8" si="0">AVERAGE(D6:F6)</f>
        <v>69</v>
      </c>
    </row>
    <row r="7" spans="2:9" x14ac:dyDescent="0.25">
      <c r="B7">
        <v>4</v>
      </c>
      <c r="C7" t="s">
        <v>40</v>
      </c>
      <c r="D7">
        <v>92</v>
      </c>
      <c r="E7">
        <v>89</v>
      </c>
      <c r="F7">
        <v>94</v>
      </c>
      <c r="G7">
        <v>98</v>
      </c>
      <c r="I7">
        <f t="shared" si="0"/>
        <v>91.666666666666671</v>
      </c>
    </row>
    <row r="8" spans="2:9" x14ac:dyDescent="0.25">
      <c r="B8">
        <v>5</v>
      </c>
      <c r="C8" t="s">
        <v>41</v>
      </c>
      <c r="D8">
        <v>55</v>
      </c>
      <c r="E8">
        <v>60</v>
      </c>
      <c r="F8">
        <v>58</v>
      </c>
      <c r="G8">
        <v>80</v>
      </c>
      <c r="I8">
        <f t="shared" si="0"/>
        <v>57.666666666666664</v>
      </c>
    </row>
    <row r="11" spans="2:9" x14ac:dyDescent="0.25">
      <c r="B11">
        <v>13</v>
      </c>
      <c r="C11" t="s">
        <v>54</v>
      </c>
    </row>
    <row r="12" spans="2:9" x14ac:dyDescent="0.25"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I12" t="s">
        <v>97</v>
      </c>
    </row>
    <row r="13" spans="2:9" x14ac:dyDescent="0.25">
      <c r="B13">
        <v>1</v>
      </c>
      <c r="C13" t="s">
        <v>37</v>
      </c>
      <c r="D13">
        <v>78</v>
      </c>
      <c r="E13">
        <v>82</v>
      </c>
      <c r="F13">
        <v>85</v>
      </c>
      <c r="G13">
        <v>92</v>
      </c>
      <c r="I13">
        <f>AVERAGE(D13:F13)</f>
        <v>81.666666666666671</v>
      </c>
    </row>
    <row r="14" spans="2:9" x14ac:dyDescent="0.25">
      <c r="B14">
        <v>2</v>
      </c>
      <c r="C14" t="s">
        <v>38</v>
      </c>
      <c r="D14">
        <v>88</v>
      </c>
      <c r="E14">
        <v>91</v>
      </c>
      <c r="F14">
        <v>90</v>
      </c>
      <c r="G14">
        <v>96</v>
      </c>
      <c r="I14">
        <f>AVERAGE(D14:F14)</f>
        <v>89.666666666666671</v>
      </c>
    </row>
    <row r="15" spans="2:9" x14ac:dyDescent="0.25">
      <c r="B15">
        <v>3</v>
      </c>
      <c r="C15" t="s">
        <v>39</v>
      </c>
      <c r="D15">
        <v>65</v>
      </c>
      <c r="E15">
        <v>70</v>
      </c>
      <c r="F15">
        <v>72</v>
      </c>
      <c r="G15">
        <v>85</v>
      </c>
      <c r="I15">
        <f t="shared" ref="I15:I17" si="1">AVERAGE(D15:F15)</f>
        <v>69</v>
      </c>
    </row>
    <row r="16" spans="2:9" x14ac:dyDescent="0.25">
      <c r="B16">
        <v>4</v>
      </c>
      <c r="C16" t="s">
        <v>40</v>
      </c>
      <c r="D16">
        <v>92</v>
      </c>
      <c r="E16">
        <v>89</v>
      </c>
      <c r="F16">
        <v>94</v>
      </c>
      <c r="G16">
        <v>98</v>
      </c>
      <c r="I16">
        <f t="shared" si="1"/>
        <v>91.666666666666671</v>
      </c>
    </row>
    <row r="17" spans="2:9" x14ac:dyDescent="0.25">
      <c r="B17">
        <v>5</v>
      </c>
      <c r="C17" t="s">
        <v>41</v>
      </c>
      <c r="D17">
        <v>55</v>
      </c>
      <c r="E17">
        <v>60</v>
      </c>
      <c r="F17">
        <v>58</v>
      </c>
      <c r="G17">
        <v>80</v>
      </c>
      <c r="I17">
        <f t="shared" si="1"/>
        <v>57.666666666666664</v>
      </c>
    </row>
    <row r="19" spans="2:9" x14ac:dyDescent="0.25">
      <c r="B19">
        <v>14</v>
      </c>
      <c r="C19" t="s">
        <v>55</v>
      </c>
    </row>
    <row r="20" spans="2:9" x14ac:dyDescent="0.25"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</row>
    <row r="21" spans="2:9" x14ac:dyDescent="0.25">
      <c r="B21">
        <v>1</v>
      </c>
      <c r="C21" t="s">
        <v>37</v>
      </c>
      <c r="D21">
        <v>78</v>
      </c>
      <c r="E21">
        <v>82</v>
      </c>
      <c r="F21">
        <v>85</v>
      </c>
      <c r="G21">
        <v>92</v>
      </c>
      <c r="H21">
        <f>COUNTIF(G21:G25,"&gt;90")</f>
        <v>3</v>
      </c>
    </row>
    <row r="22" spans="2:9" x14ac:dyDescent="0.25">
      <c r="B22">
        <v>2</v>
      </c>
      <c r="C22" t="s">
        <v>38</v>
      </c>
      <c r="D22">
        <v>88</v>
      </c>
      <c r="E22">
        <v>91</v>
      </c>
      <c r="F22">
        <v>90</v>
      </c>
      <c r="G22">
        <v>96</v>
      </c>
      <c r="H22">
        <f>COUNTIF(G22:G26,"&gt;90")</f>
        <v>2</v>
      </c>
    </row>
    <row r="23" spans="2:9" x14ac:dyDescent="0.25">
      <c r="B23">
        <v>3</v>
      </c>
      <c r="C23" t="s">
        <v>39</v>
      </c>
      <c r="D23">
        <v>65</v>
      </c>
      <c r="E23">
        <v>70</v>
      </c>
      <c r="F23">
        <v>72</v>
      </c>
      <c r="G23">
        <v>85</v>
      </c>
      <c r="H23">
        <f>COUNTIF(G23:G27,"&gt;90")</f>
        <v>1</v>
      </c>
    </row>
    <row r="24" spans="2:9" x14ac:dyDescent="0.25">
      <c r="B24">
        <v>4</v>
      </c>
      <c r="C24" t="s">
        <v>40</v>
      </c>
      <c r="D24">
        <v>92</v>
      </c>
      <c r="E24">
        <v>89</v>
      </c>
      <c r="F24">
        <v>94</v>
      </c>
      <c r="G24">
        <v>98</v>
      </c>
      <c r="H24">
        <f>COUNTIF(G24:G28,"&gt;90")</f>
        <v>1</v>
      </c>
    </row>
    <row r="25" spans="2:9" x14ac:dyDescent="0.25">
      <c r="B25">
        <v>5</v>
      </c>
      <c r="C25" t="s">
        <v>41</v>
      </c>
      <c r="D25">
        <v>55</v>
      </c>
      <c r="E25">
        <v>60</v>
      </c>
      <c r="F25">
        <v>58</v>
      </c>
      <c r="G25">
        <v>80</v>
      </c>
      <c r="H25">
        <f>COUNTIF(G25:G29,"&gt;90")</f>
        <v>1</v>
      </c>
    </row>
    <row r="27" spans="2:9" x14ac:dyDescent="0.25">
      <c r="B27" t="s">
        <v>56</v>
      </c>
    </row>
    <row r="28" spans="2:9" x14ac:dyDescent="0.25"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I28" t="s">
        <v>98</v>
      </c>
    </row>
    <row r="29" spans="2:9" x14ac:dyDescent="0.25">
      <c r="B29">
        <v>1</v>
      </c>
      <c r="C29" t="s">
        <v>37</v>
      </c>
      <c r="D29">
        <v>78</v>
      </c>
      <c r="E29">
        <v>82</v>
      </c>
      <c r="F29">
        <v>85</v>
      </c>
      <c r="G29">
        <v>92</v>
      </c>
      <c r="I29" t="str">
        <f>IF(G29&gt;=85%,"Eligible","Not Eligible")</f>
        <v>Eligible</v>
      </c>
    </row>
    <row r="30" spans="2:9" x14ac:dyDescent="0.25">
      <c r="B30">
        <v>2</v>
      </c>
      <c r="C30" t="s">
        <v>38</v>
      </c>
      <c r="D30">
        <v>88</v>
      </c>
      <c r="E30">
        <v>91</v>
      </c>
      <c r="F30">
        <v>90</v>
      </c>
      <c r="G30">
        <v>96</v>
      </c>
      <c r="I30" t="str">
        <f t="shared" ref="I30:I33" si="2">IF(G30&gt;=85%,"Eligible","Not Eligible")</f>
        <v>Eligible</v>
      </c>
    </row>
    <row r="31" spans="2:9" x14ac:dyDescent="0.25">
      <c r="B31">
        <v>3</v>
      </c>
      <c r="C31" t="s">
        <v>39</v>
      </c>
      <c r="D31">
        <v>65</v>
      </c>
      <c r="E31">
        <v>70</v>
      </c>
      <c r="F31">
        <v>72</v>
      </c>
      <c r="G31">
        <v>85</v>
      </c>
      <c r="I31" t="str">
        <f t="shared" si="2"/>
        <v>Eligible</v>
      </c>
    </row>
    <row r="32" spans="2:9" x14ac:dyDescent="0.25">
      <c r="B32">
        <v>4</v>
      </c>
      <c r="C32" t="s">
        <v>40</v>
      </c>
      <c r="D32">
        <v>92</v>
      </c>
      <c r="E32">
        <v>89</v>
      </c>
      <c r="F32">
        <v>94</v>
      </c>
      <c r="G32">
        <v>98</v>
      </c>
      <c r="I32" t="str">
        <f t="shared" si="2"/>
        <v>Eligible</v>
      </c>
    </row>
    <row r="33" spans="2:9" x14ac:dyDescent="0.25">
      <c r="B33">
        <v>5</v>
      </c>
      <c r="C33" t="s">
        <v>41</v>
      </c>
      <c r="D33">
        <v>55</v>
      </c>
      <c r="E33">
        <v>60</v>
      </c>
      <c r="F33">
        <v>58</v>
      </c>
      <c r="G33">
        <v>80</v>
      </c>
      <c r="I33" t="str">
        <f t="shared" si="2"/>
        <v>Eligible</v>
      </c>
    </row>
  </sheetData>
  <conditionalFormatting sqref="I13:I17">
    <cfRule type="cellIs" dxfId="3" priority="4" operator="greaterThan">
      <formula>90</formula>
    </cfRule>
  </conditionalFormatting>
  <conditionalFormatting sqref="I21:I25">
    <cfRule type="cellIs" dxfId="2" priority="3" operator="greaterThan">
      <formula>90</formula>
    </cfRule>
  </conditionalFormatting>
  <conditionalFormatting sqref="G21:G25">
    <cfRule type="cellIs" dxfId="1" priority="2" operator="greaterThan">
      <formula>90</formula>
    </cfRule>
  </conditionalFormatting>
  <conditionalFormatting sqref="G29:G33">
    <cfRule type="cellIs" dxfId="0" priority="1" operator="greaterThan">
      <formula>90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4"/>
    </sheetView>
  </sheetViews>
  <sheetFormatPr defaultRowHeight="15" x14ac:dyDescent="0.25"/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6555-9AA2-4FC8-B6C2-E9049728A397}">
  <dimension ref="D3:H12"/>
  <sheetViews>
    <sheetView workbookViewId="0">
      <selection activeCell="H12" sqref="H12"/>
    </sheetView>
  </sheetViews>
  <sheetFormatPr defaultRowHeight="15" x14ac:dyDescent="0.25"/>
  <sheetData>
    <row r="3" spans="4:8" x14ac:dyDescent="0.25">
      <c r="D3" t="s">
        <v>77</v>
      </c>
    </row>
    <row r="6" spans="4:8" x14ac:dyDescent="0.25">
      <c r="D6" t="s">
        <v>7</v>
      </c>
      <c r="E6" t="s">
        <v>28</v>
      </c>
      <c r="F6" t="s">
        <v>29</v>
      </c>
    </row>
    <row r="7" spans="4:8" x14ac:dyDescent="0.25">
      <c r="D7" t="s">
        <v>13</v>
      </c>
      <c r="E7" t="s">
        <v>30</v>
      </c>
      <c r="F7">
        <v>18</v>
      </c>
    </row>
    <row r="8" spans="4:8" x14ac:dyDescent="0.25">
      <c r="D8" t="s">
        <v>17</v>
      </c>
      <c r="E8" t="s">
        <v>30</v>
      </c>
      <c r="F8">
        <v>12</v>
      </c>
    </row>
    <row r="9" spans="4:8" x14ac:dyDescent="0.25">
      <c r="D9" t="s">
        <v>21</v>
      </c>
      <c r="E9" t="s">
        <v>30</v>
      </c>
      <c r="F9">
        <v>12</v>
      </c>
    </row>
    <row r="11" spans="4:8" x14ac:dyDescent="0.25">
      <c r="G11" t="s">
        <v>7</v>
      </c>
      <c r="H11" t="s">
        <v>78</v>
      </c>
    </row>
    <row r="12" spans="4:8" x14ac:dyDescent="0.25">
      <c r="G12" t="s">
        <v>13</v>
      </c>
      <c r="H12">
        <f>VLOOKUP(G12,D7:F9,3,0)</f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sqref="A1:G6"/>
    </sheetView>
  </sheetViews>
  <sheetFormatPr defaultRowHeight="15" x14ac:dyDescent="0.2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opLeftCell="A11" workbookViewId="0">
      <selection activeCell="A17" sqref="A17:F17"/>
    </sheetView>
  </sheetViews>
  <sheetFormatPr defaultRowHeight="15" x14ac:dyDescent="0.25"/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t="s">
        <v>67</v>
      </c>
      <c r="J26">
        <v>2</v>
      </c>
    </row>
    <row r="27" spans="1:10" x14ac:dyDescent="0.25">
      <c r="A27" t="s">
        <v>68</v>
      </c>
      <c r="J27">
        <v>2</v>
      </c>
    </row>
    <row r="28" spans="1:10" x14ac:dyDescent="0.25">
      <c r="A28" t="s">
        <v>69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t="s">
        <v>71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5935-2FF9-4679-89FD-E7E2E7BF474F}">
  <dimension ref="A1:I28"/>
  <sheetViews>
    <sheetView tabSelected="1" topLeftCell="A2" workbookViewId="0">
      <selection activeCell="K9" sqref="K9"/>
    </sheetView>
  </sheetViews>
  <sheetFormatPr defaultRowHeight="15" x14ac:dyDescent="0.25"/>
  <cols>
    <col min="5" max="5" width="13.140625" bestFit="1" customWidth="1"/>
    <col min="6" max="6" width="17" bestFit="1" customWidth="1"/>
  </cols>
  <sheetData>
    <row r="1" spans="1:9" x14ac:dyDescent="0.25">
      <c r="A1" t="s">
        <v>57</v>
      </c>
    </row>
    <row r="3" spans="1:9" x14ac:dyDescent="0.25"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76</v>
      </c>
    </row>
    <row r="4" spans="1:9" x14ac:dyDescent="0.25">
      <c r="B4">
        <v>301</v>
      </c>
      <c r="C4" t="s">
        <v>11</v>
      </c>
      <c r="D4" t="s">
        <v>12</v>
      </c>
      <c r="E4" t="s">
        <v>13</v>
      </c>
      <c r="F4">
        <v>2</v>
      </c>
      <c r="G4">
        <v>45000</v>
      </c>
      <c r="H4" t="s">
        <v>14</v>
      </c>
      <c r="I4">
        <f t="shared" ref="I4:I9" si="0">G4*F4</f>
        <v>90000</v>
      </c>
    </row>
    <row r="5" spans="1:9" x14ac:dyDescent="0.25">
      <c r="B5">
        <v>306</v>
      </c>
      <c r="C5" t="s">
        <v>15</v>
      </c>
      <c r="D5" t="s">
        <v>16</v>
      </c>
      <c r="E5" t="s">
        <v>13</v>
      </c>
      <c r="F5">
        <v>2</v>
      </c>
      <c r="G5">
        <v>45000</v>
      </c>
      <c r="H5" t="s">
        <v>27</v>
      </c>
      <c r="I5">
        <f t="shared" si="0"/>
        <v>90000</v>
      </c>
    </row>
    <row r="6" spans="1:9" x14ac:dyDescent="0.25">
      <c r="B6">
        <v>302</v>
      </c>
      <c r="C6" t="s">
        <v>15</v>
      </c>
      <c r="D6" t="s">
        <v>16</v>
      </c>
      <c r="E6" t="s">
        <v>17</v>
      </c>
      <c r="F6">
        <v>5</v>
      </c>
      <c r="G6">
        <v>15000</v>
      </c>
      <c r="H6" t="s">
        <v>18</v>
      </c>
      <c r="I6">
        <f t="shared" si="0"/>
        <v>75000</v>
      </c>
    </row>
    <row r="7" spans="1:9" x14ac:dyDescent="0.25">
      <c r="B7">
        <v>305</v>
      </c>
      <c r="C7" t="s">
        <v>11</v>
      </c>
      <c r="D7" t="s">
        <v>12</v>
      </c>
      <c r="E7" t="s">
        <v>17</v>
      </c>
      <c r="F7">
        <v>4</v>
      </c>
      <c r="G7">
        <v>15000</v>
      </c>
      <c r="H7" t="s">
        <v>26</v>
      </c>
      <c r="I7">
        <f t="shared" si="0"/>
        <v>60000</v>
      </c>
    </row>
    <row r="8" spans="1:9" x14ac:dyDescent="0.25">
      <c r="B8">
        <v>303</v>
      </c>
      <c r="C8" t="s">
        <v>19</v>
      </c>
      <c r="D8" t="s">
        <v>20</v>
      </c>
      <c r="E8" t="s">
        <v>21</v>
      </c>
      <c r="F8">
        <v>3</v>
      </c>
      <c r="G8">
        <v>18000</v>
      </c>
      <c r="H8" t="s">
        <v>22</v>
      </c>
      <c r="I8">
        <f t="shared" si="0"/>
        <v>54000</v>
      </c>
    </row>
    <row r="9" spans="1:9" x14ac:dyDescent="0.25">
      <c r="B9">
        <v>304</v>
      </c>
      <c r="C9" t="s">
        <v>23</v>
      </c>
      <c r="D9" t="s">
        <v>24</v>
      </c>
      <c r="E9" t="s">
        <v>13</v>
      </c>
      <c r="F9">
        <v>1</v>
      </c>
      <c r="G9">
        <v>45000</v>
      </c>
      <c r="H9" t="s">
        <v>25</v>
      </c>
      <c r="I9">
        <f t="shared" si="0"/>
        <v>45000</v>
      </c>
    </row>
    <row r="11" spans="1:9" x14ac:dyDescent="0.25">
      <c r="E11" s="5" t="s">
        <v>99</v>
      </c>
      <c r="F11" t="s">
        <v>101</v>
      </c>
    </row>
    <row r="12" spans="1:9" x14ac:dyDescent="0.25">
      <c r="E12" s="6" t="s">
        <v>13</v>
      </c>
      <c r="F12" s="7">
        <v>225000</v>
      </c>
    </row>
    <row r="13" spans="1:9" x14ac:dyDescent="0.25">
      <c r="E13" s="6" t="s">
        <v>17</v>
      </c>
      <c r="F13" s="7">
        <v>135000</v>
      </c>
    </row>
    <row r="14" spans="1:9" x14ac:dyDescent="0.25">
      <c r="E14" s="6" t="s">
        <v>21</v>
      </c>
      <c r="F14" s="7">
        <v>54000</v>
      </c>
    </row>
    <row r="15" spans="1:9" x14ac:dyDescent="0.25">
      <c r="E15" s="6" t="s">
        <v>100</v>
      </c>
      <c r="F15" s="7">
        <v>414000</v>
      </c>
    </row>
    <row r="28" spans="4:4" x14ac:dyDescent="0.25">
      <c r="D28" t="s">
        <v>58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6DCF-1E08-40AF-B76C-F9546DCDC18D}">
  <dimension ref="B4:I12"/>
  <sheetViews>
    <sheetView workbookViewId="0">
      <selection activeCell="J7" sqref="J7"/>
    </sheetView>
  </sheetViews>
  <sheetFormatPr defaultRowHeight="15" x14ac:dyDescent="0.25"/>
  <cols>
    <col min="9" max="9" width="10.7109375" bestFit="1" customWidth="1"/>
  </cols>
  <sheetData>
    <row r="4" spans="2:9" x14ac:dyDescent="0.25">
      <c r="B4" t="s">
        <v>94</v>
      </c>
      <c r="C4" t="s">
        <v>47</v>
      </c>
    </row>
    <row r="6" spans="2:9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</row>
    <row r="7" spans="2:9" x14ac:dyDescent="0.25">
      <c r="C7">
        <v>301</v>
      </c>
      <c r="D7" t="s">
        <v>11</v>
      </c>
      <c r="E7" t="s">
        <v>12</v>
      </c>
      <c r="F7" t="s">
        <v>13</v>
      </c>
      <c r="G7">
        <v>2</v>
      </c>
      <c r="H7">
        <v>45000</v>
      </c>
      <c r="I7" t="s">
        <v>14</v>
      </c>
    </row>
    <row r="8" spans="2:9" x14ac:dyDescent="0.25">
      <c r="C8">
        <v>302</v>
      </c>
      <c r="D8" t="s">
        <v>15</v>
      </c>
      <c r="E8" t="s">
        <v>16</v>
      </c>
      <c r="F8" t="s">
        <v>17</v>
      </c>
      <c r="G8">
        <v>5</v>
      </c>
      <c r="H8">
        <v>15000</v>
      </c>
      <c r="I8" t="s">
        <v>18</v>
      </c>
    </row>
    <row r="9" spans="2:9" x14ac:dyDescent="0.25">
      <c r="C9">
        <v>303</v>
      </c>
      <c r="D9" t="s">
        <v>19</v>
      </c>
      <c r="E9" t="s">
        <v>20</v>
      </c>
      <c r="F9" t="s">
        <v>21</v>
      </c>
      <c r="G9">
        <v>3</v>
      </c>
      <c r="H9">
        <v>18000</v>
      </c>
      <c r="I9" t="s">
        <v>22</v>
      </c>
    </row>
    <row r="10" spans="2:9" x14ac:dyDescent="0.25">
      <c r="C10">
        <v>304</v>
      </c>
      <c r="D10" t="s">
        <v>23</v>
      </c>
      <c r="E10" t="s">
        <v>24</v>
      </c>
      <c r="F10" t="s">
        <v>13</v>
      </c>
      <c r="G10">
        <v>1</v>
      </c>
      <c r="H10">
        <v>45000</v>
      </c>
      <c r="I10" t="s">
        <v>25</v>
      </c>
    </row>
    <row r="11" spans="2:9" x14ac:dyDescent="0.25">
      <c r="C11">
        <v>305</v>
      </c>
      <c r="D11" t="s">
        <v>11</v>
      </c>
      <c r="E11" t="s">
        <v>12</v>
      </c>
      <c r="F11" t="s">
        <v>17</v>
      </c>
      <c r="G11">
        <v>4</v>
      </c>
      <c r="H11">
        <v>15000</v>
      </c>
      <c r="I11" t="s">
        <v>26</v>
      </c>
    </row>
    <row r="12" spans="2:9" x14ac:dyDescent="0.25">
      <c r="C12">
        <v>306</v>
      </c>
      <c r="D12" t="s">
        <v>15</v>
      </c>
      <c r="E12" t="s">
        <v>16</v>
      </c>
      <c r="F12" t="s">
        <v>13</v>
      </c>
      <c r="G12">
        <v>2</v>
      </c>
      <c r="H12">
        <v>45000</v>
      </c>
      <c r="I12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8719-C5D4-4975-8E84-19000E6F43FD}">
  <dimension ref="B4:I11"/>
  <sheetViews>
    <sheetView workbookViewId="0">
      <selection activeCell="I7" sqref="I7:I11"/>
    </sheetView>
  </sheetViews>
  <sheetFormatPr defaultRowHeight="15" x14ac:dyDescent="0.25"/>
  <cols>
    <col min="2" max="2" width="14" customWidth="1"/>
    <col min="3" max="3" width="25.42578125" customWidth="1"/>
    <col min="4" max="4" width="12.140625" customWidth="1"/>
    <col min="9" max="9" width="11" customWidth="1"/>
  </cols>
  <sheetData>
    <row r="4" spans="2:9" x14ac:dyDescent="0.25">
      <c r="B4" t="s">
        <v>90</v>
      </c>
      <c r="C4" t="s">
        <v>53</v>
      </c>
    </row>
    <row r="6" spans="2:9" x14ac:dyDescent="0.25"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I6" t="s">
        <v>91</v>
      </c>
    </row>
    <row r="7" spans="2:9" x14ac:dyDescent="0.25">
      <c r="B7">
        <v>1</v>
      </c>
      <c r="C7" t="s">
        <v>37</v>
      </c>
      <c r="D7">
        <v>78</v>
      </c>
      <c r="E7">
        <v>82</v>
      </c>
      <c r="F7">
        <v>85</v>
      </c>
      <c r="G7">
        <v>92</v>
      </c>
      <c r="I7" s="3">
        <f>AVERAGE(D7:F7)</f>
        <v>81.666666666666671</v>
      </c>
    </row>
    <row r="8" spans="2:9" x14ac:dyDescent="0.25">
      <c r="B8">
        <v>2</v>
      </c>
      <c r="C8" t="s">
        <v>38</v>
      </c>
      <c r="D8">
        <v>88</v>
      </c>
      <c r="E8">
        <v>91</v>
      </c>
      <c r="F8">
        <v>90</v>
      </c>
      <c r="G8">
        <v>96</v>
      </c>
      <c r="I8" s="3">
        <f t="shared" ref="I8:I11" si="0">AVERAGE(D8:F8)</f>
        <v>89.666666666666671</v>
      </c>
    </row>
    <row r="9" spans="2:9" x14ac:dyDescent="0.25">
      <c r="B9">
        <v>3</v>
      </c>
      <c r="C9" t="s">
        <v>39</v>
      </c>
      <c r="D9">
        <v>65</v>
      </c>
      <c r="E9">
        <v>70</v>
      </c>
      <c r="F9">
        <v>72</v>
      </c>
      <c r="G9">
        <v>85</v>
      </c>
      <c r="I9" s="3">
        <f t="shared" si="0"/>
        <v>69</v>
      </c>
    </row>
    <row r="10" spans="2:9" x14ac:dyDescent="0.25">
      <c r="B10">
        <v>4</v>
      </c>
      <c r="C10" t="s">
        <v>40</v>
      </c>
      <c r="D10">
        <v>92</v>
      </c>
      <c r="E10">
        <v>89</v>
      </c>
      <c r="F10">
        <v>94</v>
      </c>
      <c r="G10">
        <v>98</v>
      </c>
      <c r="I10" s="3">
        <f t="shared" si="0"/>
        <v>91.666666666666671</v>
      </c>
    </row>
    <row r="11" spans="2:9" x14ac:dyDescent="0.25">
      <c r="B11">
        <v>5</v>
      </c>
      <c r="C11" t="s">
        <v>41</v>
      </c>
      <c r="D11">
        <v>55</v>
      </c>
      <c r="E11">
        <v>60</v>
      </c>
      <c r="F11">
        <v>58</v>
      </c>
      <c r="G11">
        <v>80</v>
      </c>
      <c r="I11" s="3">
        <f t="shared" si="0"/>
        <v>57.666666666666664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91BB-397D-4286-8649-FA0C79C26B72}">
  <dimension ref="C3:M23"/>
  <sheetViews>
    <sheetView workbookViewId="0">
      <selection activeCell="D13" sqref="D13"/>
    </sheetView>
  </sheetViews>
  <sheetFormatPr defaultRowHeight="15" x14ac:dyDescent="0.25"/>
  <cols>
    <col min="3" max="3" width="9" bestFit="1" customWidth="1"/>
    <col min="4" max="4" width="7.140625" bestFit="1" customWidth="1"/>
    <col min="9" max="9" width="14" customWidth="1"/>
    <col min="10" max="10" width="10.28515625" bestFit="1" customWidth="1"/>
  </cols>
  <sheetData>
    <row r="3" spans="3:13" x14ac:dyDescent="0.25">
      <c r="D3" t="s">
        <v>80</v>
      </c>
    </row>
    <row r="5" spans="3:13" x14ac:dyDescent="0.25"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76</v>
      </c>
      <c r="K5" t="s">
        <v>79</v>
      </c>
      <c r="L5" t="s">
        <v>81</v>
      </c>
    </row>
    <row r="6" spans="3:13" x14ac:dyDescent="0.25">
      <c r="C6">
        <v>301</v>
      </c>
      <c r="D6" t="s">
        <v>11</v>
      </c>
      <c r="E6" t="s">
        <v>12</v>
      </c>
      <c r="F6" t="s">
        <v>13</v>
      </c>
      <c r="G6">
        <v>2</v>
      </c>
      <c r="H6">
        <v>45000</v>
      </c>
      <c r="I6" t="s">
        <v>14</v>
      </c>
      <c r="J6">
        <f>H6*G6</f>
        <v>90000</v>
      </c>
      <c r="K6">
        <f>VLOOKUP(F6,Product_Master!$A$1:$C$4,3,FALSE*Sales_Data!F2)</f>
        <v>18</v>
      </c>
      <c r="L6">
        <f>J6+K6</f>
        <v>90018</v>
      </c>
    </row>
    <row r="7" spans="3:13" x14ac:dyDescent="0.25">
      <c r="C7">
        <v>302</v>
      </c>
      <c r="D7" t="s">
        <v>15</v>
      </c>
      <c r="E7" t="s">
        <v>16</v>
      </c>
      <c r="F7" t="s">
        <v>17</v>
      </c>
      <c r="G7">
        <v>5</v>
      </c>
      <c r="H7">
        <v>15000</v>
      </c>
      <c r="I7" t="s">
        <v>18</v>
      </c>
      <c r="J7">
        <f t="shared" ref="J7:J11" si="0">H7*G7</f>
        <v>75000</v>
      </c>
      <c r="K7">
        <f>VLOOKUP(F7,Product_Master!$A$1:$C$4,3,FALSE*Sales_Data!F3)</f>
        <v>12</v>
      </c>
      <c r="L7">
        <f t="shared" ref="L7:L11" si="1">J7+K7</f>
        <v>75012</v>
      </c>
    </row>
    <row r="8" spans="3:13" x14ac:dyDescent="0.25">
      <c r="C8">
        <v>303</v>
      </c>
      <c r="D8" t="s">
        <v>19</v>
      </c>
      <c r="E8" t="s">
        <v>20</v>
      </c>
      <c r="F8" t="s">
        <v>21</v>
      </c>
      <c r="G8">
        <v>3</v>
      </c>
      <c r="H8">
        <v>18000</v>
      </c>
      <c r="I8" t="s">
        <v>22</v>
      </c>
      <c r="J8">
        <f t="shared" si="0"/>
        <v>54000</v>
      </c>
      <c r="K8">
        <f>VLOOKUP(F8,Product_Master!$A$1:$C$4,3,FALSE*Sales_Data!F4)</f>
        <v>12</v>
      </c>
      <c r="L8">
        <f t="shared" si="1"/>
        <v>54012</v>
      </c>
    </row>
    <row r="9" spans="3:13" x14ac:dyDescent="0.25">
      <c r="C9">
        <v>304</v>
      </c>
      <c r="D9" t="s">
        <v>23</v>
      </c>
      <c r="E9" t="s">
        <v>24</v>
      </c>
      <c r="F9" t="s">
        <v>13</v>
      </c>
      <c r="G9">
        <v>1</v>
      </c>
      <c r="H9">
        <v>45000</v>
      </c>
      <c r="I9" t="s">
        <v>25</v>
      </c>
      <c r="J9">
        <f t="shared" si="0"/>
        <v>45000</v>
      </c>
      <c r="K9">
        <f>VLOOKUP(F9,Product_Master!$A$1:$C$4,3,FALSE*Sales_Data!F5)</f>
        <v>18</v>
      </c>
      <c r="L9">
        <f t="shared" si="1"/>
        <v>45018</v>
      </c>
    </row>
    <row r="10" spans="3:13" x14ac:dyDescent="0.25">
      <c r="C10">
        <v>305</v>
      </c>
      <c r="D10" t="s">
        <v>11</v>
      </c>
      <c r="E10" t="s">
        <v>12</v>
      </c>
      <c r="F10" t="s">
        <v>17</v>
      </c>
      <c r="G10">
        <v>4</v>
      </c>
      <c r="H10">
        <v>15000</v>
      </c>
      <c r="I10" t="s">
        <v>26</v>
      </c>
      <c r="J10">
        <f t="shared" si="0"/>
        <v>60000</v>
      </c>
      <c r="K10">
        <f>VLOOKUP(F10,Product_Master!$A$1:$C$4,3,FALSE*Sales_Data!F6)</f>
        <v>12</v>
      </c>
      <c r="L10">
        <f t="shared" si="1"/>
        <v>60012</v>
      </c>
    </row>
    <row r="11" spans="3:13" x14ac:dyDescent="0.25">
      <c r="C11">
        <v>306</v>
      </c>
      <c r="D11" t="s">
        <v>15</v>
      </c>
      <c r="E11" t="s">
        <v>16</v>
      </c>
      <c r="F11" t="s">
        <v>13</v>
      </c>
      <c r="G11">
        <v>2</v>
      </c>
      <c r="H11">
        <v>45000</v>
      </c>
      <c r="I11" t="s">
        <v>27</v>
      </c>
      <c r="J11">
        <f t="shared" si="0"/>
        <v>90000</v>
      </c>
      <c r="K11">
        <f>VLOOKUP(F11,Product_Master!$A$1:$C$4,3,FALSE*Sales_Data!F7)</f>
        <v>18</v>
      </c>
      <c r="L11">
        <f t="shared" si="1"/>
        <v>90018</v>
      </c>
    </row>
    <row r="12" spans="3:13" x14ac:dyDescent="0.25">
      <c r="I12" t="s">
        <v>92</v>
      </c>
      <c r="J12" s="4">
        <f>SUM(J6:J11)</f>
        <v>414000</v>
      </c>
      <c r="K12" s="4">
        <f>SUM(K6:K11)</f>
        <v>90</v>
      </c>
      <c r="L12" s="4">
        <f>SUM(L6:L11)</f>
        <v>414090</v>
      </c>
    </row>
    <row r="16" spans="3:13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</row>
    <row r="23" spans="13:13" x14ac:dyDescent="0.25">
      <c r="M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Instructions</vt:lpstr>
      <vt:lpstr>Sales_Data</vt:lpstr>
      <vt:lpstr>Sheet2</vt:lpstr>
      <vt:lpstr>Sheet5</vt:lpstr>
      <vt:lpstr>Sheet7</vt:lpstr>
      <vt:lpstr>Product_Master</vt:lpstr>
      <vt:lpstr>Sheet3</vt:lpstr>
      <vt:lpstr>Student_Marks</vt:lpstr>
      <vt:lpstr>Questions</vt:lpstr>
      <vt:lpstr>Sheet8</vt:lpstr>
      <vt:lpstr>Sheet6</vt:lpstr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ASDC4</cp:lastModifiedBy>
  <dcterms:created xsi:type="dcterms:W3CDTF">2025-12-20T09:26:06Z</dcterms:created>
  <dcterms:modified xsi:type="dcterms:W3CDTF">2026-07-14T07:27:27Z</dcterms:modified>
</cp:coreProperties>
</file>