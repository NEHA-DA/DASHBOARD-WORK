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pivotTables/pivotTable7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pivotTables/pivotTable8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pivotTables/pivotTable9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pivotTables/pivotTable10.xml" ContentType="application/vnd.openxmlformats-officedocument.spreadsheetml.pivotTab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pivotTables/pivotTable11.xml" ContentType="application/vnd.openxmlformats-officedocument.spreadsheetml.pivotTab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pivotTables/pivotTable12.xml" ContentType="application/vnd.openxmlformats-officedocument.spreadsheetml.pivotTab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pivotTables/pivotTable13.xml" ContentType="application/vnd.openxmlformats-officedocument.spreadsheetml.pivotTab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pivotTables/pivotTable14.xml" ContentType="application/vnd.openxmlformats-officedocument.spreadsheetml.pivotTab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CE7E966-CD1C-4D63-8080-8D2CD0E1BFF2}" xr6:coauthVersionLast="47" xr6:coauthVersionMax="47" xr10:uidLastSave="{00000000-0000-0000-0000-000000000000}"/>
  <bookViews>
    <workbookView xWindow="-120" yWindow="-120" windowWidth="29040" windowHeight="15720" tabRatio="1000" firstSheet="74" activeTab="83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Sheet3" sheetId="117" r:id="rId79"/>
    <sheet name="Main Data" sheetId="79" r:id="rId80"/>
    <sheet name="Emp. info" sheetId="80" r:id="rId81"/>
    <sheet name="Dashboard 1" sheetId="81" r:id="rId82"/>
    <sheet name="Extra" sheetId="29" r:id="rId83"/>
    <sheet name="Dashboard (2)" sheetId="82" r:id="rId84"/>
    <sheet name="Dashboard (3)" sheetId="83" r:id="rId85"/>
    <sheet name="0 (6)" sheetId="89" r:id="rId86"/>
    <sheet name="0 (7)" sheetId="90" r:id="rId87"/>
    <sheet name="0 (8)" sheetId="91" r:id="rId88"/>
    <sheet name="0 (9)" sheetId="92" r:id="rId89"/>
    <sheet name="Sheet12" sheetId="104" r:id="rId90"/>
    <sheet name="Sheet13" sheetId="105" r:id="rId91"/>
    <sheet name="Sheet14" sheetId="106" r:id="rId92"/>
    <sheet name="Sheet15" sheetId="107" r:id="rId93"/>
    <sheet name="Sheet16" sheetId="108" r:id="rId94"/>
    <sheet name="Sheet17" sheetId="109" r:id="rId95"/>
    <sheet name="Sheet18" sheetId="110" r:id="rId96"/>
    <sheet name="Sheet19" sheetId="111" r:id="rId97"/>
    <sheet name="Sheet20" sheetId="112" r:id="rId98"/>
    <sheet name="Sheet21" sheetId="113" r:id="rId99"/>
    <sheet name="Sheet22" sheetId="114" r:id="rId100"/>
    <sheet name="Sheet23" sheetId="115" r:id="rId101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2"/>
    <pivotCache cacheId="1" r:id="rId103"/>
    <pivotCache cacheId="33" r:id="rId10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72" l="1" a="1"/>
  <c r="K12" i="72" s="1"/>
  <c r="I5" i="70"/>
  <c r="C12" i="69"/>
  <c r="H5" i="68" a="1"/>
  <c r="H5" i="68" s="1"/>
  <c r="I10" i="67"/>
  <c r="J19" i="63"/>
  <c r="J20" i="63"/>
  <c r="J21" i="63"/>
  <c r="J22" i="63"/>
  <c r="J23" i="63"/>
  <c r="J24" i="63"/>
  <c r="J25" i="63"/>
  <c r="J18" i="63"/>
  <c r="D17" i="63"/>
  <c r="J36" i="72"/>
  <c r="I36" i="72"/>
  <c r="H36" i="72"/>
  <c r="G36" i="72"/>
  <c r="H35" i="72"/>
  <c r="G35" i="72"/>
  <c r="J34" i="72"/>
  <c r="I34" i="72"/>
  <c r="H34" i="72"/>
  <c r="G34" i="72"/>
  <c r="J33" i="72"/>
  <c r="G33" i="72"/>
  <c r="J32" i="72"/>
  <c r="I32" i="72"/>
  <c r="H32" i="72"/>
  <c r="G32" i="72" a="1"/>
  <c r="J35" i="72" s="1"/>
  <c r="H6" i="87"/>
  <c r="H5" i="87"/>
  <c r="H4" i="87"/>
  <c r="F16" i="84"/>
  <c r="D16" i="84"/>
  <c r="I4" i="68" a="1"/>
  <c r="I4" i="68" s="1"/>
  <c r="I7" i="67"/>
  <c r="D29" i="64" a="1"/>
  <c r="D29" i="64" s="1"/>
  <c r="D30" i="64" a="1"/>
  <c r="D30" i="64" s="1"/>
  <c r="D31" i="64" a="1"/>
  <c r="D31" i="64" s="1"/>
  <c r="D28" i="64" a="1"/>
  <c r="D28" i="64" s="1"/>
  <c r="F36" i="62"/>
  <c r="F35" i="62"/>
  <c r="F34" i="62"/>
  <c r="F33" i="62"/>
  <c r="F32" i="62"/>
  <c r="F31" i="62"/>
  <c r="F30" i="62"/>
  <c r="F29" i="62"/>
  <c r="D29" i="61"/>
  <c r="D28" i="61"/>
  <c r="D27" i="61"/>
  <c r="D26" i="61"/>
  <c r="D25" i="61"/>
  <c r="D5" i="60"/>
  <c r="D13" i="59"/>
  <c r="D14" i="59"/>
  <c r="D15" i="59"/>
  <c r="D16" i="59"/>
  <c r="D12" i="59"/>
  <c r="D13" i="58"/>
  <c r="D14" i="58"/>
  <c r="D15" i="58"/>
  <c r="D16" i="58"/>
  <c r="D12" i="58"/>
  <c r="D13" i="57"/>
  <c r="D14" i="57"/>
  <c r="D15" i="57"/>
  <c r="D16" i="57"/>
  <c r="D12" i="57"/>
  <c r="C17" i="56"/>
  <c r="F17" i="56" s="1"/>
  <c r="C16" i="56"/>
  <c r="F16" i="56" s="1"/>
  <c r="C15" i="56"/>
  <c r="F15" i="56" s="1"/>
  <c r="C14" i="56"/>
  <c r="F14" i="56" s="1"/>
  <c r="C13" i="56"/>
  <c r="D13" i="56" s="1"/>
  <c r="C16" i="54"/>
  <c r="C17" i="54"/>
  <c r="C18" i="54"/>
  <c r="C19" i="54"/>
  <c r="C15" i="54"/>
  <c r="C13" i="55"/>
  <c r="C14" i="55"/>
  <c r="C15" i="55"/>
  <c r="C16" i="55"/>
  <c r="C12" i="55"/>
  <c r="D14" i="53"/>
  <c r="D15" i="53"/>
  <c r="D16" i="53"/>
  <c r="D17" i="53"/>
  <c r="D13" i="53"/>
  <c r="E13" i="52"/>
  <c r="E14" i="52"/>
  <c r="E15" i="52"/>
  <c r="E16" i="52"/>
  <c r="D13" i="52"/>
  <c r="D14" i="52"/>
  <c r="D15" i="52"/>
  <c r="D16" i="52"/>
  <c r="C13" i="52"/>
  <c r="C14" i="52"/>
  <c r="C15" i="52"/>
  <c r="C16" i="52"/>
  <c r="C12" i="52"/>
  <c r="E12" i="52"/>
  <c r="D12" i="52"/>
  <c r="E17" i="51"/>
  <c r="E18" i="51"/>
  <c r="E19" i="51"/>
  <c r="E20" i="51"/>
  <c r="E16" i="51"/>
  <c r="D11" i="50"/>
  <c r="E11" i="50"/>
  <c r="C17" i="48" a="1"/>
  <c r="C17" i="48" s="1"/>
  <c r="C5" i="47"/>
  <c r="C6" i="47"/>
  <c r="C7" i="47"/>
  <c r="C8" i="47"/>
  <c r="C9" i="47"/>
  <c r="C10" i="47"/>
  <c r="C11" i="47"/>
  <c r="C4" i="47"/>
  <c r="C14" i="46"/>
  <c r="C13" i="46"/>
  <c r="C12" i="46"/>
  <c r="C11" i="46"/>
  <c r="C15" i="45"/>
  <c r="C14" i="45"/>
  <c r="C13" i="45"/>
  <c r="C12" i="45"/>
  <c r="C12" i="43"/>
  <c r="C13" i="43"/>
  <c r="C14" i="43"/>
  <c r="C11" i="43"/>
  <c r="C17" i="42"/>
  <c r="C18" i="42"/>
  <c r="C19" i="42"/>
  <c r="C16" i="42"/>
  <c r="C16" i="41"/>
  <c r="C17" i="41"/>
  <c r="C15" i="41"/>
  <c r="E14" i="40"/>
  <c r="E15" i="40"/>
  <c r="E16" i="40"/>
  <c r="E17" i="40"/>
  <c r="E13" i="40"/>
  <c r="E20" i="39"/>
  <c r="E19" i="39"/>
  <c r="E18" i="39"/>
  <c r="E17" i="39"/>
  <c r="E16" i="39"/>
  <c r="E4" i="39"/>
  <c r="E13" i="38"/>
  <c r="E14" i="38"/>
  <c r="E15" i="38"/>
  <c r="E16" i="38"/>
  <c r="E12" i="38"/>
  <c r="C17" i="37"/>
  <c r="C18" i="37"/>
  <c r="C19" i="37"/>
  <c r="C20" i="37"/>
  <c r="C21" i="37"/>
  <c r="C22" i="37"/>
  <c r="C23" i="37"/>
  <c r="C16" i="37"/>
  <c r="C17" i="36"/>
  <c r="C18" i="36"/>
  <c r="C19" i="36"/>
  <c r="C20" i="36"/>
  <c r="C21" i="36"/>
  <c r="C22" i="36"/>
  <c r="C23" i="36"/>
  <c r="C24" i="36"/>
  <c r="C16" i="36"/>
  <c r="C24" i="35"/>
  <c r="C17" i="35"/>
  <c r="C18" i="35"/>
  <c r="C19" i="35"/>
  <c r="C20" i="35"/>
  <c r="C21" i="35"/>
  <c r="C22" i="35"/>
  <c r="C23" i="35"/>
  <c r="C16" i="35"/>
  <c r="H20" i="34"/>
  <c r="H19" i="34"/>
  <c r="H18" i="34"/>
  <c r="H17" i="34"/>
  <c r="I17" i="34" s="1"/>
  <c r="F18" i="34"/>
  <c r="F19" i="34"/>
  <c r="F20" i="34"/>
  <c r="F17" i="34"/>
  <c r="D17" i="32"/>
  <c r="D18" i="32"/>
  <c r="D19" i="32"/>
  <c r="D20" i="32"/>
  <c r="D21" i="32"/>
  <c r="D22" i="32"/>
  <c r="D23" i="32"/>
  <c r="D16" i="32"/>
  <c r="F5" i="31"/>
  <c r="G5" i="31" s="1"/>
  <c r="F6" i="31"/>
  <c r="G6" i="31" s="1"/>
  <c r="F7" i="31"/>
  <c r="G7" i="31" s="1"/>
  <c r="F8" i="31"/>
  <c r="G8" i="31" s="1"/>
  <c r="F9" i="31"/>
  <c r="G9" i="31" s="1"/>
  <c r="F10" i="31"/>
  <c r="G10" i="31" s="1"/>
  <c r="F11" i="31"/>
  <c r="G11" i="31" s="1"/>
  <c r="F4" i="31"/>
  <c r="G4" i="31" s="1"/>
  <c r="C17" i="30"/>
  <c r="C18" i="30"/>
  <c r="C19" i="30"/>
  <c r="C20" i="30"/>
  <c r="C21" i="30"/>
  <c r="C22" i="30"/>
  <c r="C23" i="30"/>
  <c r="C24" i="30"/>
  <c r="C16" i="30"/>
  <c r="E31" i="27"/>
  <c r="E32" i="27"/>
  <c r="E33" i="27"/>
  <c r="E34" i="27"/>
  <c r="E35" i="27"/>
  <c r="E36" i="27"/>
  <c r="E37" i="27"/>
  <c r="E30" i="27"/>
  <c r="D31" i="27"/>
  <c r="D32" i="27"/>
  <c r="D33" i="27"/>
  <c r="D34" i="27"/>
  <c r="D35" i="27"/>
  <c r="D36" i="27"/>
  <c r="D37" i="27"/>
  <c r="D30" i="27"/>
  <c r="H18" i="25"/>
  <c r="G18" i="24"/>
  <c r="E17" i="23"/>
  <c r="D14" i="22"/>
  <c r="E15" i="21"/>
  <c r="F22" i="20"/>
  <c r="F21" i="20"/>
  <c r="F20" i="20"/>
  <c r="F19" i="20"/>
  <c r="F18" i="20"/>
  <c r="F17" i="20"/>
  <c r="F16" i="20"/>
  <c r="F15" i="20"/>
  <c r="I5" i="19"/>
  <c r="I14" i="18"/>
  <c r="I5" i="17"/>
  <c r="I14" i="16"/>
  <c r="E5" i="15"/>
  <c r="E6" i="15"/>
  <c r="E7" i="15"/>
  <c r="E8" i="15"/>
  <c r="E4" i="15"/>
  <c r="H15" i="14"/>
  <c r="G15" i="13"/>
  <c r="G15" i="12"/>
  <c r="C25" i="11"/>
  <c r="F18" i="10"/>
  <c r="E16" i="8"/>
  <c r="E17" i="8"/>
  <c r="E18" i="8"/>
  <c r="E19" i="8"/>
  <c r="E20" i="8"/>
  <c r="E21" i="8"/>
  <c r="E22" i="8"/>
  <c r="E23" i="8"/>
  <c r="E24" i="8"/>
  <c r="F19" i="7"/>
  <c r="F20" i="7"/>
  <c r="F21" i="7"/>
  <c r="F22" i="7"/>
  <c r="F23" i="7"/>
  <c r="F24" i="7"/>
  <c r="F25" i="7"/>
  <c r="F26" i="7"/>
  <c r="F18" i="7"/>
  <c r="F7" i="6"/>
  <c r="F8" i="6"/>
  <c r="F9" i="6"/>
  <c r="F10" i="6"/>
  <c r="F11" i="6"/>
  <c r="F12" i="6"/>
  <c r="F13" i="6"/>
  <c r="F6" i="6"/>
  <c r="H18" i="5"/>
  <c r="G18" i="4"/>
  <c r="G17" i="3"/>
  <c r="G5" i="1"/>
  <c r="G6" i="1"/>
  <c r="G7" i="1"/>
  <c r="G8" i="1"/>
  <c r="G9" i="1"/>
  <c r="G10" i="1"/>
  <c r="G11" i="1"/>
  <c r="G4" i="1"/>
  <c r="N8" i="71"/>
  <c r="D25" i="65" a="1"/>
  <c r="D25" i="65" s="1"/>
  <c r="I20" i="65"/>
  <c r="D20" i="1"/>
  <c r="D24" i="1"/>
  <c r="D27" i="1"/>
  <c r="E3" i="3"/>
  <c r="E4" i="3"/>
  <c r="G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G4" i="4"/>
  <c r="I4" i="4" a="1"/>
  <c r="I4" i="4" s="1"/>
  <c r="H4" i="5"/>
  <c r="H5" i="5"/>
  <c r="H6" i="5"/>
  <c r="F4" i="6"/>
  <c r="F5" i="6"/>
  <c r="B25" i="6"/>
  <c r="F4" i="7"/>
  <c r="F5" i="7"/>
  <c r="F6" i="7"/>
  <c r="F7" i="7"/>
  <c r="F8" i="7"/>
  <c r="F9" i="7"/>
  <c r="F10" i="7"/>
  <c r="F11" i="7"/>
  <c r="F12" i="7"/>
  <c r="F14" i="7"/>
  <c r="E4" i="8"/>
  <c r="E5" i="8"/>
  <c r="E6" i="8"/>
  <c r="E7" i="8"/>
  <c r="E8" i="8"/>
  <c r="E9" i="8"/>
  <c r="E10" i="8"/>
  <c r="E11" i="8"/>
  <c r="E12" i="8"/>
  <c r="E4" i="9"/>
  <c r="E5" i="9"/>
  <c r="E6" i="9"/>
  <c r="E7" i="9"/>
  <c r="E8" i="9"/>
  <c r="E9" i="9"/>
  <c r="E10" i="9"/>
  <c r="E11" i="9"/>
  <c r="E12" i="9"/>
  <c r="F4" i="10"/>
  <c r="G4" i="11"/>
  <c r="G5" i="11"/>
  <c r="G6" i="11"/>
  <c r="G7" i="11"/>
  <c r="G8" i="11"/>
  <c r="G9" i="11"/>
  <c r="G10" i="11"/>
  <c r="G11" i="11"/>
  <c r="F17" i="11"/>
  <c r="G4" i="12"/>
  <c r="G4" i="13"/>
  <c r="G5" i="13"/>
  <c r="G6" i="13"/>
  <c r="H4" i="14"/>
  <c r="I3" i="16"/>
  <c r="I3" i="17"/>
  <c r="I4" i="17"/>
  <c r="I3" i="18"/>
  <c r="I3" i="19"/>
  <c r="I4" i="19"/>
  <c r="F4" i="20"/>
  <c r="F5" i="20"/>
  <c r="F6" i="20"/>
  <c r="F7" i="20"/>
  <c r="F8" i="20"/>
  <c r="F9" i="20"/>
  <c r="F10" i="20"/>
  <c r="F11" i="20"/>
  <c r="E4" i="21"/>
  <c r="D4" i="22"/>
  <c r="E4" i="23"/>
  <c r="G4" i="24"/>
  <c r="G8" i="24"/>
  <c r="H4" i="25"/>
  <c r="C3" i="26"/>
  <c r="F6" i="26"/>
  <c r="F7" i="26"/>
  <c r="F8" i="26"/>
  <c r="F3" i="26" s="1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4" i="28"/>
  <c r="D13" i="28" s="1"/>
  <c r="D5" i="28"/>
  <c r="D6" i="28"/>
  <c r="D7" i="28"/>
  <c r="D8" i="28"/>
  <c r="D9" i="28"/>
  <c r="D10" i="28"/>
  <c r="D11" i="28"/>
  <c r="D12" i="28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F9" i="9"/>
  <c r="K18" i="9"/>
  <c r="K16" i="9"/>
  <c r="K22" i="9"/>
  <c r="K24" i="9"/>
  <c r="K21" i="9"/>
  <c r="F4" i="9"/>
  <c r="K20" i="9"/>
  <c r="K19" i="9"/>
  <c r="F7" i="9"/>
  <c r="F10" i="9"/>
  <c r="F12" i="9"/>
  <c r="K17" i="9"/>
  <c r="F5" i="9"/>
  <c r="F8" i="9"/>
  <c r="K23" i="9"/>
  <c r="F11" i="9"/>
  <c r="F6" i="9"/>
  <c r="G32" i="72" l="1"/>
  <c r="H33" i="72"/>
  <c r="I33" i="72"/>
  <c r="I35" i="72"/>
  <c r="D24" i="32"/>
  <c r="G15" i="20"/>
  <c r="G16" i="20"/>
  <c r="E15" i="56"/>
  <c r="D15" i="56"/>
  <c r="D17" i="56"/>
  <c r="D16" i="56"/>
  <c r="E17" i="56"/>
  <c r="E13" i="56"/>
  <c r="D14" i="56"/>
  <c r="E14" i="56"/>
  <c r="F13" i="56"/>
  <c r="E16" i="56"/>
  <c r="F28" i="7"/>
  <c r="I5" i="4"/>
  <c r="J24" i="9"/>
  <c r="J16" i="9"/>
  <c r="J23" i="9"/>
  <c r="J22" i="9"/>
  <c r="J21" i="9"/>
  <c r="J20" i="9"/>
  <c r="J19" i="9"/>
  <c r="J18" i="9"/>
  <c r="J17" i="9"/>
  <c r="I7" i="4"/>
  <c r="G11" i="20"/>
  <c r="D12" i="32"/>
  <c r="I7" i="72"/>
  <c r="F15" i="69"/>
  <c r="G10" i="20"/>
  <c r="I3" i="26"/>
  <c r="G4" i="20"/>
  <c r="B15" i="69"/>
  <c r="J9" i="72"/>
  <c r="H7" i="72"/>
  <c r="I9" i="72"/>
  <c r="I6" i="4"/>
  <c r="J8" i="72"/>
  <c r="G8" i="72"/>
  <c r="G8" i="20"/>
  <c r="J7" i="72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6" i="20"/>
  <c r="G9" i="72"/>
  <c r="H21" i="72"/>
  <c r="C12" i="48"/>
  <c r="I22" i="72"/>
  <c r="I20" i="72"/>
  <c r="I8" i="72"/>
  <c r="G7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<sst xmlns="http://schemas.openxmlformats.org/spreadsheetml/2006/main" count="4513" uniqueCount="1020">
  <si>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</si>
  <si>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</si>
  <si>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</si>
  <si>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</si>
  <si>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</si>
  <si>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</si>
  <si>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</si>
  <si>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</si>
  <si>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</si>
  <si>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</si>
  <si>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</si>
  <si>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</si>
  <si>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</si>
  <si>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</si>
  <si>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</si>
  <si>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</si>
  <si>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</si>
  <si>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</si>
  <si>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</si>
  <si>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</si>
  <si>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</si>
  <si>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</si>
  <si>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</si>
  <si>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</si>
  <si>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</si>
  <si>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</si>
  <si>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</si>
  <si>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</si>
  <si>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</si>
  <si>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</si>
  <si>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</si>
  <si>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</si>
  <si>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</si>
  <si>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</si>
  <si>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</si>
  <si>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</si>
  <si>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</si>
  <si>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</si>
  <si>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</si>
  <si>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</si>
  <si>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</si>
  <si>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</si>
  <si>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</si>
  <si>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</si>
  <si>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</si>
  <si>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</si>
  <si>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</si>
  <si>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</si>
  <si>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</si>
  <si>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</si>
  <si>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</si>
  <si>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</si>
  <si>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</si>
  <si>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</si>
  <si>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</si>
  <si>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</si>
  <si>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</si>
  <si>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</si>
  <si>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</si>
  <si>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</si>
  <si>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</si>
  <si>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</si>
  <si>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</si>
  <si>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</si>
  <si>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</si>
  <si>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</si>
  <si>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</si>
  <si>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</si>
  <si>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</si>
  <si>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</si>
  <si>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</si>
  <si>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</si>
  <si>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</si>
  <si>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</si>
  <si>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</si>
  <si>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</si>
  <si>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</si>
  <si>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</si>
  <si>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</si>
  <si>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</si>
  <si>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</si>
  <si>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</si>
  <si>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</si>
  <si>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</si>
  <si>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</si>
  <si>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</si>
  <si>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</si>
  <si>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</si>
  <si>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</si>
  <si>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</si>
  <si>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</si>
  <si>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</si>
  <si>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</si>
  <si>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</si>
  <si>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</si>
  <si>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</si>
  <si>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</si>
  <si>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</si>
  <si>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</si>
  <si>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</si>
  <si>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</si>
  <si>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</si>
  <si>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</si>
  <si>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</si>
  <si>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</si>
  <si>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</si>
  <si>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</si>
  <si>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</si>
  <si>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</si>
  <si>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</si>
  <si>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</si>
  <si>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</si>
  <si>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</si>
  <si>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</si>
  <si>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</si>
  <si>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</si>
  <si>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</si>
  <si>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</si>
  <si>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</si>
  <si>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</si>
  <si>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</si>
  <si>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</si>
  <si>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</si>
  <si>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</si>
  <si>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</si>
  <si>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</si>
  <si>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</si>
  <si>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</si>
  <si>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</si>
  <si>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</si>
  <si>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</si>
  <si>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</si>
  <si>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</si>
  <si>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</si>
  <si>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</si>
  <si>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</si>
  <si>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</si>
  <si>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</si>
  <si>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</si>
  <si>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</si>
  <si>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</si>
  <si>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</si>
  <si>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</si>
  <si>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</si>
  <si>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</si>
  <si>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</si>
  <si>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</si>
  <si>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</si>
  <si>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</si>
  <si>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</si>
  <si>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</si>
  <si>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</si>
  <si>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</si>
  <si>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</si>
  <si>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</si>
  <si>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</si>
  <si>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</si>
  <si>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</si>
  <si>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</si>
  <si>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</si>
  <si>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</si>
  <si>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</si>
  <si>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</si>
  <si>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</si>
  <si>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</si>
  <si>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</si>
  <si>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</si>
  <si>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</si>
  <si>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</si>
  <si>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</si>
  <si>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</si>
  <si>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</si>
  <si>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</si>
  <si>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</si>
  <si>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</si>
  <si>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</si>
  <si>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</si>
  <si>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</si>
  <si>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</si>
  <si>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</si>
  <si>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</si>
  <si>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</si>
  <si>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</si>
  <si>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</si>
  <si>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</si>
  <si>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</si>
  <si>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</si>
  <si>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</si>
  <si>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</si>
  <si>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</si>
  <si>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</si>
  <si>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</si>
  <si>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</si>
  <si>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</si>
  <si>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</si>
  <si>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</si>
  <si>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</si>
  <si>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</si>
  <si>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</si>
  <si>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</si>
  <si>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</si>
  <si>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</si>
  <si>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</si>
  <si>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</si>
  <si>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</si>
  <si>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</si>
  <si>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</si>
  <si>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</si>
  <si>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</si>
  <si>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</si>
  <si>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</si>
  <si>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</si>
  <si>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</si>
  <si>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</si>
  <si>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</si>
  <si>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</si>
  <si>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</si>
  <si>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</si>
  <si>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</si>
  <si>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</si>
  <si>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</si>
  <si>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</si>
  <si>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</si>
  <si>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</si>
  <si>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</si>
  <si>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</si>
  <si>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</si>
  <si>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</si>
  <si>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</si>
  <si>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</si>
  <si>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</si>
  <si>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</si>
  <si>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</si>
  <si>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</si>
  <si>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</si>
  <si>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</si>
  <si>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</si>
  <si>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</si>
  <si>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</si>
  <si>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</si>
  <si>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</si>
  <si>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</si>
  <si>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</si>
  <si>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</si>
  <si>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</si>
  <si>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</si>
  <si>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</si>
  <si>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</si>
  <si>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</si>
  <si>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</si>
  <si>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</si>
  <si>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</si>
  <si>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</si>
  <si>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</si>
  <si>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</si>
  <si>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</si>
  <si>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</si>
  <si>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</si>
  <si>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</si>
  <si>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</si>
  <si>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</si>
  <si>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</si>
  <si>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</si>
  <si>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</si>
  <si>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</si>
  <si>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</si>
  <si>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</si>
  <si>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</si>
  <si>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</si>
  <si>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</si>
  <si>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</si>
  <si>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</si>
  <si>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</si>
  <si>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</si>
  <si>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</si>
  <si>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</si>
  <si>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</si>
  <si>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</si>
  <si>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</si>
  <si>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</si>
  <si>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</si>
  <si>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</si>
  <si>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</si>
  <si>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</si>
  <si>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</si>
  <si>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</si>
  <si>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</si>
  <si>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</si>
  <si>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</si>
  <si>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</si>
  <si>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</si>
  <si>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</si>
  <si>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</si>
  <si>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</si>
  <si>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</si>
  <si>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</si>
  <si>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</si>
  <si>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</si>
  <si>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</si>
  <si>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</si>
  <si>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</si>
  <si>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</si>
  <si>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</si>
  <si>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</si>
  <si>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</si>
  <si>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</si>
  <si>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</si>
  <si>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</si>
  <si>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</si>
  <si>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</si>
  <si>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</si>
  <si>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</si>
  <si>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</si>
  <si>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</si>
  <si>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</si>
  <si>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</si>
  <si>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</si>
  <si>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</si>
  <si>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</si>
  <si>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</si>
  <si>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</si>
  <si>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</si>
  <si>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</si>
  <si>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</si>
  <si>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</si>
  <si>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</si>
  <si>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</si>
  <si>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</si>
  <si>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</si>
  <si>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</si>
  <si>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</si>
  <si>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</si>
  <si>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</si>
  <si>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</si>
  <si>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</si>
  <si>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</si>
  <si>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</si>
  <si>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</si>
  <si>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</si>
  <si>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</si>
  <si>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</si>
  <si>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</si>
  <si>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</si>
  <si>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</si>
  <si>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</si>
  <si>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</si>
  <si>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</si>
  <si>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</si>
  <si>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</si>
  <si>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</si>
  <si>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</si>
  <si>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</si>
  <si>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</si>
  <si>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</si>
  <si>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</si>
  <si>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</si>
  <si>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</si>
  <si>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</si>
  <si>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</si>
  <si>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</si>
  <si>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</si>
  <si>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</si>
  <si>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</si>
  <si>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</si>
  <si>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</si>
  <si>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</si>
  <si>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</si>
  <si>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</si>
  <si>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</si>
  <si>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</si>
  <si>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</si>
  <si>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</si>
  <si>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</si>
  <si>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</si>
  <si>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</si>
  <si>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</si>
  <si>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</si>
  <si>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</si>
  <si>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</si>
  <si>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</si>
  <si>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</si>
  <si>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</si>
  <si>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</si>
  <si>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</si>
  <si>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</si>
  <si>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</si>
  <si>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</si>
  <si>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</si>
  <si>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</si>
  <si>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</si>
  <si>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</si>
  <si>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</si>
  <si>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</si>
  <si>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</si>
  <si>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</si>
  <si>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</si>
  <si>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</si>
  <si>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</si>
  <si>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</si>
  <si>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</si>
  <si>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</si>
  <si>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</si>
  <si>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</si>
  <si>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</si>
  <si>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</si>
  <si>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</si>
  <si>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</si>
  <si>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</si>
  <si>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</si>
  <si>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</si>
  <si>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</si>
  <si>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</si>
  <si>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</si>
  <si>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</si>
  <si>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</si>
  <si>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</si>
  <si>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</si>
  <si>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</si>
  <si>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</si>
  <si>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</si>
  <si>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</si>
  <si>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</si>
  <si>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</si>
  <si>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</si>
  <si>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</si>
  <si>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</si>
  <si>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</si>
  <si>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</si>
  <si>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</si>
  <si>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</si>
  <si>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</si>
  <si>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</si>
  <si>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</si>
  <si>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</si>
  <si>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</si>
  <si>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</si>
  <si>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</si>
  <si>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</si>
  <si>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</si>
  <si>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</si>
  <si>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</si>
  <si>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</si>
  <si>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</si>
  <si>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</si>
  <si>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</si>
  <si>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</si>
  <si>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</si>
  <si>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</si>
  <si>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</si>
  <si>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</si>
  <si>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</si>
  <si>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</si>
  <si>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</si>
  <si>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</si>
  <si>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</si>
  <si>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</si>
  <si>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</si>
  <si>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</si>
  <si>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</si>
  <si>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</si>
  <si>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</si>
  <si>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</si>
  <si>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</si>
  <si>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</si>
  <si>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</si>
  <si>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</si>
  <si>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</si>
  <si>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</si>
  <si>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</si>
  <si>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</si>
  <si>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</si>
  <si>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</si>
  <si>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</si>
  <si>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</si>
  <si>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</si>
  <si>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</si>
  <si>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</si>
  <si>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</si>
  <si>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</si>
  <si>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</si>
  <si>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</si>
  <si>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</si>
  <si>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</si>
  <si>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</si>
  <si>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</si>
  <si>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</si>
  <si>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</si>
  <si>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</si>
  <si>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</si>
  <si>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</si>
  <si>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</si>
  <si>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</si>
  <si>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</si>
  <si>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</si>
  <si>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</si>
  <si>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</si>
  <si>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</si>
  <si>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</si>
  <si>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</si>
  <si>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</si>
  <si>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</si>
  <si>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</si>
  <si>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</si>
  <si>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</si>
  <si>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</si>
  <si>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</si>
  <si>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</si>
  <si>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</si>
  <si>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</si>
  <si>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</si>
  <si>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</si>
  <si>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</si>
  <si>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</si>
  <si>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</si>
  <si>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</si>
  <si>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</si>
  <si>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</si>
  <si>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</si>
  <si>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</si>
  <si>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</si>
  <si>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</si>
  <si>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</si>
  <si>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</si>
  <si>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</si>
  <si>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</si>
  <si>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</si>
  <si>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</si>
  <si>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</si>
  <si>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</si>
  <si>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</si>
  <si>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</si>
  <si>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</si>
  <si>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</si>
  <si>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</si>
  <si>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</si>
  <si>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</si>
  <si>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</si>
  <si>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</si>
  <si>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</si>
  <si>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</si>
  <si>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</si>
  <si>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</si>
  <si>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</si>
  <si>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</si>
  <si>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</si>
  <si>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</si>
  <si>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</si>
  <si>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</si>
  <si>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</si>
  <si>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</si>
  <si>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</si>
  <si>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</si>
  <si>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</si>
  <si>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</si>
  <si>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</si>
  <si>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</si>
  <si>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</si>
  <si>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</si>
  <si>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</si>
  <si>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</si>
  <si>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</si>
  <si>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</si>
  <si>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</si>
  <si>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</si>
  <si>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</si>
  <si>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</si>
  <si>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</si>
  <si>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</si>
  <si>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</si>
  <si>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</si>
  <si>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</si>
  <si>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</si>
  <si>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</si>
  <si>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</si>
  <si>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</si>
  <si>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</si>
  <si>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</si>
  <si>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</si>
  <si>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</si>
  <si>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</si>
  <si>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</si>
  <si>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</si>
  <si>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</si>
  <si>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</si>
  <si>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</si>
  <si>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</si>
  <si>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</si>
  <si>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</si>
  <si>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</si>
  <si>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</si>
  <si>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</si>
  <si>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</si>
  <si>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</si>
  <si>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</si>
  <si>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</si>
  <si>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</si>
  <si>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</si>
  <si>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</si>
  <si>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</si>
  <si>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</si>
  <si>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</si>
  <si>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</si>
  <si>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</si>
  <si>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</si>
  <si>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</si>
  <si>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</si>
  <si>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</si>
  <si>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</si>
  <si>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</si>
  <si>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</si>
  <si>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</si>
  <si>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</si>
  <si>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</si>
  <si>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</si>
  <si>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</si>
  <si>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</si>
  <si>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</si>
  <si>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</si>
  <si>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</si>
  <si>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</si>
  <si>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</si>
  <si>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</si>
  <si>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</si>
  <si>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</si>
  <si>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</si>
  <si>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</si>
  <si>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</si>
  <si>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</si>
  <si>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</si>
  <si>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</si>
  <si>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</si>
  <si>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</si>
  <si>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</si>
  <si>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</si>
  <si>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</si>
  <si>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</si>
  <si>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</si>
  <si>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</si>
  <si>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</si>
  <si>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</si>
  <si>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</si>
  <si>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</si>
  <si>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</si>
  <si>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</si>
  <si>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</si>
  <si>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</si>
  <si>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</si>
  <si>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</si>
  <si>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</si>
  <si>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</si>
  <si>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</si>
  <si>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</si>
  <si>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</si>
  <si>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</si>
  <si>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</si>
  <si>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</si>
  <si>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</si>
  <si>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</si>
  <si>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</si>
  <si>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</si>
  <si>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</si>
  <si>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</si>
  <si>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</si>
  <si>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</si>
  <si>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</si>
  <si>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</si>
  <si>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</si>
  <si>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</si>
  <si>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</si>
  <si>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</si>
  <si>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</si>
  <si>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</si>
  <si>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</si>
  <si>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</si>
  <si>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</si>
  <si>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</si>
  <si>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</si>
  <si>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</si>
  <si>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</si>
  <si>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</si>
  <si>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</si>
  <si>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</si>
  <si>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</si>
  <si>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</si>
  <si>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</si>
  <si>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</si>
  <si>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</si>
  <si>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</si>
  <si>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</si>
  <si>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</si>
  <si>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</si>
  <si>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</si>
  <si>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</si>
  <si>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</si>
  <si>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</si>
  <si>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</si>
  <si>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</si>
  <si>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</si>
  <si>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</si>
  <si>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</si>
  <si>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</si>
  <si>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</si>
  <si>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</si>
  <si>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</si>
  <si>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</si>
  <si>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</si>
  <si>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</si>
  <si>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</si>
  <si>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</si>
  <si>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</si>
  <si>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</si>
  <si>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</si>
  <si>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</si>
  <si>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</si>
  <si>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</si>
  <si>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</si>
  <si>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</si>
  <si>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</si>
  <si>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</si>
  <si>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</si>
  <si>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</si>
  <si>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</si>
  <si>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</si>
  <si>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</si>
  <si>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</si>
  <si>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</si>
  <si>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</si>
  <si>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</si>
  <si>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</si>
  <si>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</si>
  <si>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</si>
  <si>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</si>
  <si>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</si>
  <si>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</si>
  <si>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</si>
  <si>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</si>
  <si>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</si>
  <si>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</si>
  <si>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</si>
  <si>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</si>
  <si>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</si>
  <si>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</si>
  <si>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</si>
  <si>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</si>
  <si>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</si>
  <si>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</si>
  <si>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</si>
  <si>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</si>
  <si>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</si>
  <si>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</si>
  <si>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</si>
  <si>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</si>
  <si>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</si>
  <si>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</si>
  <si>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</si>
  <si>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</si>
  <si>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</si>
  <si>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</si>
  <si>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</si>
  <si>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</si>
  <si>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</si>
  <si>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</si>
  <si>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</si>
  <si>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</si>
  <si>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</si>
  <si>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</si>
  <si>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</si>
  <si>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</si>
  <si>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</si>
  <si>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</si>
  <si>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</si>
  <si>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</si>
  <si>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</si>
  <si>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</si>
  <si>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</si>
  <si>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</si>
  <si>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</si>
  <si>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</si>
  <si>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</si>
  <si>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</si>
  <si>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</si>
  <si>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</si>
  <si>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</si>
  <si>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</si>
  <si>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</si>
  <si>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</si>
  <si>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</si>
  <si>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</si>
  <si>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</si>
  <si>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</si>
  <si>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</si>
  <si>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</si>
  <si>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</si>
  <si>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</si>
  <si>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</si>
  <si>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</si>
  <si>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</si>
  <si>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</si>
  <si>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</si>
  <si>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</si>
  <si>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</si>
  <si>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</si>
  <si>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</si>
  <si>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</si>
  <si>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</si>
  <si>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</si>
  <si>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</si>
  <si>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</si>
  <si>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</si>
  <si>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</si>
  <si>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</si>
  <si>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</si>
  <si>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</si>
  <si>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</si>
  <si>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</si>
  <si>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</si>
  <si>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</si>
  <si>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</si>
  <si>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</si>
  <si>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</si>
  <si>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</si>
  <si>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</si>
  <si>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</si>
  <si>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</si>
  <si>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</si>
  <si>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</si>
  <si>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</si>
  <si>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</si>
  <si>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</si>
  <si>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</si>
  <si>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</si>
  <si>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</si>
  <si>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</si>
  <si>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</si>
  <si>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</si>
  <si>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</si>
  <si>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</si>
  <si>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</si>
  <si>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</si>
  <si>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</si>
  <si>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</si>
  <si>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</si>
  <si>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</si>
  <si>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</si>
  <si>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</si>
  <si>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</si>
  <si>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</si>
  <si>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</si>
  <si>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</si>
  <si>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</si>
  <si>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</si>
  <si>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</si>
  <si>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</si>
  <si>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</si>
  <si>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</si>
  <si>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</si>
  <si>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</si>
  <si>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</si>
  <si>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</si>
  <si>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</si>
  <si>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</si>
  <si>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</si>
  <si>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</si>
  <si>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</si>
  <si>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</si>
  <si>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</si>
  <si>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</si>
  <si>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</si>
  <si>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</si>
  <si>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</si>
  <si>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</si>
  <si>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</si>
  <si>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</si>
  <si>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</si>
  <si>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</si>
  <si>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</si>
  <si>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</si>
  <si>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</si>
  <si>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</si>
  <si>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</si>
  <si>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</si>
  <si>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</si>
  <si>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</si>
  <si>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</si>
  <si>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</si>
  <si>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</si>
  <si>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</si>
  <si>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</si>
  <si>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</si>
  <si>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</si>
  <si>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</si>
  <si>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</si>
  <si>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</si>
  <si>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</si>
  <si>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</si>
  <si>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</si>
  <si>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</si>
  <si>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</si>
  <si>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</si>
  <si>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</si>
  <si>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</si>
  <si>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</si>
  <si>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</si>
  <si>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</si>
  <si>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</si>
  <si>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</si>
  <si>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</si>
  <si>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</si>
  <si>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</si>
  <si>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</si>
  <si>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</si>
  <si>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</si>
  <si>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</si>
  <si>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</si>
  <si>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</si>
  <si>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</si>
  <si>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</si>
  <si>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</si>
  <si>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</si>
  <si>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</si>
  <si>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</si>
  <si>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</si>
  <si>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</si>
  <si>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</si>
  <si>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</si>
  <si>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</si>
  <si>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</si>
  <si>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</si>
  <si>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</si>
  <si>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</si>
  <si>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</si>
  <si>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</si>
  <si>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</si>
  <si>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</si>
  <si>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</si>
  <si>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</si>
  <si>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</si>
  <si>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</si>
  <si>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</si>
  <si>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</si>
  <si>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</si>
  <si>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</si>
  <si>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</si>
  <si>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</si>
  <si>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</si>
  <si>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</si>
  <si>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</si>
  <si>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</si>
  <si>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</si>
  <si>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</si>
  <si>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</si>
  <si>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</si>
  <si>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</si>
  <si>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</si>
  <si>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</si>
  <si>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</si>
  <si>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</si>
  <si>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</si>
  <si>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</si>
  <si>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</si>
  <si>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</si>
  <si>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</si>
  <si>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</si>
  <si>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</si>
  <si>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</si>
  <si>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</si>
  <si>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</si>
  <si>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</si>
  <si>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</si>
  <si>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</si>
  <si>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</si>
  <si>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</si>
  <si>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</si>
  <si>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</si>
  <si>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</si>
  <si>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</si>
  <si>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</si>
  <si>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</si>
  <si>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</si>
  <si>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keyboard</t>
  </si>
  <si>
    <t>TOTAL AMOUNT</t>
  </si>
  <si>
    <t>\</t>
  </si>
  <si>
    <t>AMOUNT</t>
  </si>
  <si>
    <t>PRODUCT NAME</t>
  </si>
  <si>
    <t>AVG.SALE</t>
  </si>
  <si>
    <t>Pencil BOX</t>
  </si>
  <si>
    <t>Product name</t>
  </si>
  <si>
    <t>Avg.sale</t>
  </si>
  <si>
    <t>amount</t>
  </si>
  <si>
    <t>Max sale</t>
  </si>
  <si>
    <t>Min sale</t>
  </si>
  <si>
    <t>count break</t>
  </si>
  <si>
    <t>product name</t>
  </si>
  <si>
    <t>full name</t>
  </si>
  <si>
    <t>FULL NAME</t>
  </si>
  <si>
    <t>PINCODE</t>
  </si>
  <si>
    <t>PHONE</t>
  </si>
  <si>
    <t>REGION</t>
  </si>
  <si>
    <t>EAST</t>
  </si>
  <si>
    <t>WEST</t>
  </si>
  <si>
    <t>NORTH</t>
  </si>
  <si>
    <t>JAN</t>
  </si>
  <si>
    <t>FEB</t>
  </si>
  <si>
    <t>MAR</t>
  </si>
  <si>
    <t>DATE</t>
  </si>
  <si>
    <t>DAY</t>
  </si>
  <si>
    <t>MONTH</t>
  </si>
  <si>
    <t>YEAR</t>
  </si>
  <si>
    <t>TOTAL DAYS</t>
  </si>
  <si>
    <t>SAME DATE FOR PREVIOUS OR NEXT N MONTH</t>
  </si>
  <si>
    <t>TASK END DATE</t>
  </si>
  <si>
    <t>BONUS</t>
  </si>
  <si>
    <t>STATUS</t>
  </si>
  <si>
    <t>Emp id</t>
  </si>
  <si>
    <t xml:space="preserve">position </t>
  </si>
  <si>
    <t>price</t>
  </si>
  <si>
    <t>Count</t>
  </si>
  <si>
    <t>position</t>
  </si>
  <si>
    <t>Sum of Salary</t>
  </si>
  <si>
    <t>Sum of Empcode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</si>
</sst>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5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61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0" fontId="11" fillId="0" borderId="2" xfId="6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0" fontId="18" fillId="0" borderId="37" xfId="0" quotePrefix="1" applyFont="1" applyBorder="1"/>
    <xf numFmtId="0" fontId="18" fillId="5" borderId="44" xfId="0" applyFont="1" applyFill="1" applyBorder="1"/>
    <xf numFmtId="0" fontId="18" fillId="5" borderId="15" xfId="0" applyFont="1" applyFill="1" applyBorder="1"/>
    <xf numFmtId="0" fontId="18" fillId="5" borderId="14" xfId="0" applyFont="1" applyFill="1" applyBorder="1"/>
    <xf numFmtId="22" fontId="0" fillId="0" borderId="2" xfId="0" applyNumberFormat="1" applyBorder="1"/>
    <xf numFmtId="2" fontId="0" fillId="0" borderId="2" xfId="0" applyNumberFormat="1" applyBorder="1"/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  <xf numFmtId="0" fontId="0" fillId="5" borderId="0" xfId="0" applyFill="1" applyAlignment="1">
      <alignment wrapText="1"/>
    </xf>
    <xf numFmtId="0" fontId="0" fillId="0" borderId="0" xfId="0" applyNumberFormat="1"/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13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pivotCacheDefinition" Target="pivotCache/pivotCacheDefinition2.xml"/><Relationship Id="rId108" Type="http://schemas.openxmlformats.org/officeDocument/2006/relationships/sheetMetadata" Target="metadata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" Target="richData/rdrichvalu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RichValueStructure" Target="richData/rdrichvaluestructure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microsoft.com/office/2017/06/relationships/rdRichValueTypes" Target="richData/rdRichValueType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[NEHA WORKBOOK PRECTIC.xlsx]Sheet1!PivotTable1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[NEHA WORKBOOK PRECTIC.xlsx]Sheet2!PivotTable2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[NEHA WORKBOOK PRECTIC.xlsx]Sheet2!PivotTable2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[NEHA WORKBOOK PRECTIC.xlsx]Sheet1!PivotTable1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8715652965066973"/>
          <c:y val="2.6261934649473126E-3"/>
          <c:w val="0.42168600921754523"/>
          <c:h val="0.7229776712693522"/>
        </c:manualLayout>
      </c:layout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[NEHA WORKBOOK PRECTIC.xlsx]Sheet1!PivotTable1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13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15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16"/>
        <c:spPr>
          <a:gradFill rotWithShape="1">
            <a:gsLst>
              <a:gs pos="0">
                <a:schemeClr val="accent1">
                  <a:tint val="96000"/>
                  <a:lumMod val="100000"/>
                </a:schemeClr>
              </a:gs>
              <a:gs pos="78000">
                <a:schemeClr val="accent1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6000"/>
                      <a:lumMod val="100000"/>
                    </a:schemeClr>
                  </a:gs>
                  <a:gs pos="78000">
                    <a:schemeClr val="accent1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1-6331-4609-86EA-88696026341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6000"/>
                      <a:lumMod val="100000"/>
                    </a:schemeClr>
                  </a:gs>
                  <a:gs pos="78000">
                    <a:schemeClr val="accent2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3-6331-4609-86EA-88696026341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6000"/>
                      <a:lumMod val="100000"/>
                    </a:schemeClr>
                  </a:gs>
                  <a:gs pos="78000">
                    <a:schemeClr val="accent3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5-6331-4609-86EA-88696026341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6000"/>
                      <a:lumMod val="100000"/>
                    </a:schemeClr>
                  </a:gs>
                  <a:gs pos="78000">
                    <a:schemeClr val="accent4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7-6331-4609-86EA-88696026341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6000"/>
                      <a:lumMod val="100000"/>
                    </a:schemeClr>
                  </a:gs>
                  <a:gs pos="78000">
                    <a:schemeClr val="accent5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9-6331-4609-86EA-88696026341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tint val="96000"/>
                      <a:lumMod val="100000"/>
                    </a:schemeClr>
                  </a:gs>
                  <a:gs pos="78000">
                    <a:schemeClr val="accent6"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B-6331-4609-86EA-88696026341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tint val="96000"/>
                      <a:lumMod val="100000"/>
                    </a:schemeClr>
                  </a:gs>
                  <a:gs pos="78000">
                    <a:schemeClr val="accent1">
                      <a:lumMod val="60000"/>
                      <a:shade val="94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D-6331-4609-86EA-8869602634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331-4609-86EA-88696026341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[NEHA WORKBOOK PRECTIC.xlsx]Sheet2!PivotTable2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90C226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90C226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8521303587051614"/>
          <c:y val="0.25478966170895306"/>
          <c:w val="0.4552036307961505"/>
          <c:h val="0.636028725575969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B-4263-9504-5CB0C4993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82622991"/>
        <c:axId val="1974169839"/>
      </c:barChart>
      <c:catAx>
        <c:axId val="182622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169839"/>
        <c:crosses val="autoZero"/>
        <c:auto val="1"/>
        <c:lblAlgn val="ctr"/>
        <c:lblOffset val="100"/>
        <c:noMultiLvlLbl val="0"/>
      </c:catAx>
      <c:valAx>
        <c:axId val="197416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2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[NEHA WORKBOOK PRECTIC.xlsx]Sheet3!PivotTable23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Empcode by Dept and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5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6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East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Sheet3!$A$5:$A$13</c:f>
              <c:strCache>
                <c:ptCount val="9"/>
                <c:pt idx="0">
                  <c:v>Admin</c:v>
                </c:pt>
                <c:pt idx="1">
                  <c:v>CCD</c:v>
                </c:pt>
                <c:pt idx="2">
                  <c:v>Director</c:v>
                </c:pt>
                <c:pt idx="3">
                  <c:v>Finance</c:v>
                </c:pt>
                <c:pt idx="4">
                  <c:v>mkt</c:v>
                </c:pt>
                <c:pt idx="5">
                  <c:v>Mktg</c:v>
                </c:pt>
                <c:pt idx="6">
                  <c:v>Personnel</c:v>
                </c:pt>
                <c:pt idx="7">
                  <c:v>R&amp;D</c:v>
                </c:pt>
                <c:pt idx="8">
                  <c:v>Sales</c:v>
                </c:pt>
              </c:strCache>
            </c:strRef>
          </c:cat>
          <c:val>
            <c:numRef>
              <c:f>Sheet3!$B$5:$B$13</c:f>
              <c:numCache>
                <c:formatCode>General</c:formatCode>
                <c:ptCount val="9"/>
                <c:pt idx="0">
                  <c:v>41125</c:v>
                </c:pt>
                <c:pt idx="1">
                  <c:v>49000</c:v>
                </c:pt>
                <c:pt idx="3">
                  <c:v>19250</c:v>
                </c:pt>
                <c:pt idx="4">
                  <c:v>17500</c:v>
                </c:pt>
                <c:pt idx="5">
                  <c:v>54950</c:v>
                </c:pt>
                <c:pt idx="6">
                  <c:v>28000</c:v>
                </c:pt>
                <c:pt idx="7">
                  <c:v>37800</c:v>
                </c:pt>
                <c:pt idx="8">
                  <c:v>59500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9C-46A2-A59C-5E3393D81977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north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Sheet3!$A$5:$A$13</c:f>
              <c:strCache>
                <c:ptCount val="9"/>
                <c:pt idx="0">
                  <c:v>Admin</c:v>
                </c:pt>
                <c:pt idx="1">
                  <c:v>CCD</c:v>
                </c:pt>
                <c:pt idx="2">
                  <c:v>Director</c:v>
                </c:pt>
                <c:pt idx="3">
                  <c:v>Finance</c:v>
                </c:pt>
                <c:pt idx="4">
                  <c:v>mkt</c:v>
                </c:pt>
                <c:pt idx="5">
                  <c:v>Mktg</c:v>
                </c:pt>
                <c:pt idx="6">
                  <c:v>Personnel</c:v>
                </c:pt>
                <c:pt idx="7">
                  <c:v>R&amp;D</c:v>
                </c:pt>
                <c:pt idx="8">
                  <c:v>Sales</c:v>
                </c:pt>
              </c:strCache>
            </c:strRef>
          </c:cat>
          <c:val>
            <c:numRef>
              <c:f>Sheet3!$C$5:$C$13</c:f>
              <c:numCache>
                <c:formatCode>General</c:formatCode>
                <c:ptCount val="9"/>
                <c:pt idx="0">
                  <c:v>78050</c:v>
                </c:pt>
                <c:pt idx="1">
                  <c:v>94325</c:v>
                </c:pt>
                <c:pt idx="3">
                  <c:v>49000</c:v>
                </c:pt>
                <c:pt idx="5">
                  <c:v>81200</c:v>
                </c:pt>
                <c:pt idx="6">
                  <c:v>81375</c:v>
                </c:pt>
                <c:pt idx="7">
                  <c:v>125300</c:v>
                </c:pt>
                <c:pt idx="8">
                  <c:v>124251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9C-46A2-A59C-5E3393D81977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south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Sheet3!$A$5:$A$13</c:f>
              <c:strCache>
                <c:ptCount val="9"/>
                <c:pt idx="0">
                  <c:v>Admin</c:v>
                </c:pt>
                <c:pt idx="1">
                  <c:v>CCD</c:v>
                </c:pt>
                <c:pt idx="2">
                  <c:v>Director</c:v>
                </c:pt>
                <c:pt idx="3">
                  <c:v>Finance</c:v>
                </c:pt>
                <c:pt idx="4">
                  <c:v>mkt</c:v>
                </c:pt>
                <c:pt idx="5">
                  <c:v>Mktg</c:v>
                </c:pt>
                <c:pt idx="6">
                  <c:v>Personnel</c:v>
                </c:pt>
                <c:pt idx="7">
                  <c:v>R&amp;D</c:v>
                </c:pt>
                <c:pt idx="8">
                  <c:v>Sales</c:v>
                </c:pt>
              </c:strCache>
            </c:strRef>
          </c:cat>
          <c:val>
            <c:numRef>
              <c:f>Sheet3!$D$5:$D$13</c:f>
              <c:numCache>
                <c:formatCode>General</c:formatCode>
                <c:ptCount val="9"/>
                <c:pt idx="0">
                  <c:v>26250</c:v>
                </c:pt>
                <c:pt idx="1">
                  <c:v>49000</c:v>
                </c:pt>
                <c:pt idx="2">
                  <c:v>49000</c:v>
                </c:pt>
                <c:pt idx="3">
                  <c:v>32375</c:v>
                </c:pt>
                <c:pt idx="5">
                  <c:v>63350</c:v>
                </c:pt>
                <c:pt idx="6">
                  <c:v>17500</c:v>
                </c:pt>
                <c:pt idx="7">
                  <c:v>42700</c:v>
                </c:pt>
                <c:pt idx="8">
                  <c:v>55825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9C-46A2-A59C-5E3393D81977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west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Sheet3!$A$5:$A$13</c:f>
              <c:strCache>
                <c:ptCount val="9"/>
                <c:pt idx="0">
                  <c:v>Admin</c:v>
                </c:pt>
                <c:pt idx="1">
                  <c:v>CCD</c:v>
                </c:pt>
                <c:pt idx="2">
                  <c:v>Director</c:v>
                </c:pt>
                <c:pt idx="3">
                  <c:v>Finance</c:v>
                </c:pt>
                <c:pt idx="4">
                  <c:v>mkt</c:v>
                </c:pt>
                <c:pt idx="5">
                  <c:v>Mktg</c:v>
                </c:pt>
                <c:pt idx="6">
                  <c:v>Personnel</c:v>
                </c:pt>
                <c:pt idx="7">
                  <c:v>R&amp;D</c:v>
                </c:pt>
                <c:pt idx="8">
                  <c:v>Sales</c:v>
                </c:pt>
              </c:strCache>
            </c:strRef>
          </c:cat>
          <c:val>
            <c:numRef>
              <c:f>Sheet3!$E$5:$E$13</c:f>
              <c:numCache>
                <c:formatCode>General</c:formatCode>
                <c:ptCount val="9"/>
                <c:pt idx="0">
                  <c:v>15750</c:v>
                </c:pt>
                <c:pt idx="1">
                  <c:v>49000</c:v>
                </c:pt>
                <c:pt idx="3">
                  <c:v>25375</c:v>
                </c:pt>
                <c:pt idx="5">
                  <c:v>40950</c:v>
                </c:pt>
                <c:pt idx="6">
                  <c:v>55650</c:v>
                </c:pt>
                <c:pt idx="7">
                  <c:v>41825</c:v>
                </c:pt>
                <c:pt idx="8">
                  <c:v>47250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9C-46A2-A59C-5E3393D819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97228847"/>
        <c:axId val="1974146319"/>
      </c:barChart>
      <c:catAx>
        <c:axId val="19722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146319"/>
        <c:crosses val="autoZero"/>
        <c:auto val="1"/>
        <c:lblAlgn val="ctr"/>
        <c:lblOffset val="100"/>
        <c:noMultiLvlLbl val="0"/>
      </c:catAx>
      <c:valAx>
        <c:axId val="197414631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2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[NEHA WORKBOOK PRECTIC.xlsx]Sheet3!PivotTable23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Sheet3!$A$5:$A$13</c:f>
              <c:strCache>
                <c:ptCount val="9"/>
                <c:pt idx="0">
                  <c:v>Admin</c:v>
                </c:pt>
                <c:pt idx="1">
                  <c:v>CCD</c:v>
                </c:pt>
                <c:pt idx="2">
                  <c:v>Director</c:v>
                </c:pt>
                <c:pt idx="3">
                  <c:v>Finance</c:v>
                </c:pt>
                <c:pt idx="4">
                  <c:v>mkt</c:v>
                </c:pt>
                <c:pt idx="5">
                  <c:v>Mktg</c:v>
                </c:pt>
                <c:pt idx="6">
                  <c:v>Personnel</c:v>
                </c:pt>
                <c:pt idx="7">
                  <c:v>R&amp;D</c:v>
                </c:pt>
                <c:pt idx="8">
                  <c:v>Sales</c:v>
                </c:pt>
              </c:strCache>
            </c:strRef>
          </c:cat>
          <c:val>
            <c:numRef>
              <c:f>Sheet3!$B$5:$B$13</c:f>
              <c:numCache>
                <c:formatCode>General</c:formatCode>
                <c:ptCount val="9"/>
                <c:pt idx="0">
                  <c:v>41125</c:v>
                </c:pt>
                <c:pt idx="1">
                  <c:v>49000</c:v>
                </c:pt>
                <c:pt idx="3">
                  <c:v>19250</c:v>
                </c:pt>
                <c:pt idx="4">
                  <c:v>17500</c:v>
                </c:pt>
                <c:pt idx="5">
                  <c:v>54950</c:v>
                </c:pt>
                <c:pt idx="6">
                  <c:v>28000</c:v>
                </c:pt>
                <c:pt idx="7">
                  <c:v>37800</c:v>
                </c:pt>
                <c:pt idx="8">
                  <c:v>59500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0-4706-988D-FE091BAF1614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Sheet3!$A$5:$A$13</c:f>
              <c:strCache>
                <c:ptCount val="9"/>
                <c:pt idx="0">
                  <c:v>Admin</c:v>
                </c:pt>
                <c:pt idx="1">
                  <c:v>CCD</c:v>
                </c:pt>
                <c:pt idx="2">
                  <c:v>Director</c:v>
                </c:pt>
                <c:pt idx="3">
                  <c:v>Finance</c:v>
                </c:pt>
                <c:pt idx="4">
                  <c:v>mkt</c:v>
                </c:pt>
                <c:pt idx="5">
                  <c:v>Mktg</c:v>
                </c:pt>
                <c:pt idx="6">
                  <c:v>Personnel</c:v>
                </c:pt>
                <c:pt idx="7">
                  <c:v>R&amp;D</c:v>
                </c:pt>
                <c:pt idx="8">
                  <c:v>Sales</c:v>
                </c:pt>
              </c:strCache>
            </c:strRef>
          </c:cat>
          <c:val>
            <c:numRef>
              <c:f>Sheet3!$C$5:$C$13</c:f>
              <c:numCache>
                <c:formatCode>General</c:formatCode>
                <c:ptCount val="9"/>
                <c:pt idx="0">
                  <c:v>78050</c:v>
                </c:pt>
                <c:pt idx="1">
                  <c:v>94325</c:v>
                </c:pt>
                <c:pt idx="3">
                  <c:v>49000</c:v>
                </c:pt>
                <c:pt idx="5">
                  <c:v>81200</c:v>
                </c:pt>
                <c:pt idx="6">
                  <c:v>81375</c:v>
                </c:pt>
                <c:pt idx="7">
                  <c:v>125300</c:v>
                </c:pt>
                <c:pt idx="8">
                  <c:v>124251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E0-4706-988D-FE091BAF1614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Sheet3!$A$5:$A$13</c:f>
              <c:strCache>
                <c:ptCount val="9"/>
                <c:pt idx="0">
                  <c:v>Admin</c:v>
                </c:pt>
                <c:pt idx="1">
                  <c:v>CCD</c:v>
                </c:pt>
                <c:pt idx="2">
                  <c:v>Director</c:v>
                </c:pt>
                <c:pt idx="3">
                  <c:v>Finance</c:v>
                </c:pt>
                <c:pt idx="4">
                  <c:v>mkt</c:v>
                </c:pt>
                <c:pt idx="5">
                  <c:v>Mktg</c:v>
                </c:pt>
                <c:pt idx="6">
                  <c:v>Personnel</c:v>
                </c:pt>
                <c:pt idx="7">
                  <c:v>R&amp;D</c:v>
                </c:pt>
                <c:pt idx="8">
                  <c:v>Sales</c:v>
                </c:pt>
              </c:strCache>
            </c:strRef>
          </c:cat>
          <c:val>
            <c:numRef>
              <c:f>Sheet3!$D$5:$D$13</c:f>
              <c:numCache>
                <c:formatCode>General</c:formatCode>
                <c:ptCount val="9"/>
                <c:pt idx="0">
                  <c:v>26250</c:v>
                </c:pt>
                <c:pt idx="1">
                  <c:v>49000</c:v>
                </c:pt>
                <c:pt idx="2">
                  <c:v>49000</c:v>
                </c:pt>
                <c:pt idx="3">
                  <c:v>32375</c:v>
                </c:pt>
                <c:pt idx="5">
                  <c:v>63350</c:v>
                </c:pt>
                <c:pt idx="6">
                  <c:v>17500</c:v>
                </c:pt>
                <c:pt idx="7">
                  <c:v>42700</c:v>
                </c:pt>
                <c:pt idx="8">
                  <c:v>55825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E0-4706-988D-FE091BAF1614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Sheet3!$A$5:$A$13</c:f>
              <c:strCache>
                <c:ptCount val="9"/>
                <c:pt idx="0">
                  <c:v>Admin</c:v>
                </c:pt>
                <c:pt idx="1">
                  <c:v>CCD</c:v>
                </c:pt>
                <c:pt idx="2">
                  <c:v>Director</c:v>
                </c:pt>
                <c:pt idx="3">
                  <c:v>Finance</c:v>
                </c:pt>
                <c:pt idx="4">
                  <c:v>mkt</c:v>
                </c:pt>
                <c:pt idx="5">
                  <c:v>Mktg</c:v>
                </c:pt>
                <c:pt idx="6">
                  <c:v>Personnel</c:v>
                </c:pt>
                <c:pt idx="7">
                  <c:v>R&amp;D</c:v>
                </c:pt>
                <c:pt idx="8">
                  <c:v>Sales</c:v>
                </c:pt>
              </c:strCache>
            </c:strRef>
          </c:cat>
          <c:val>
            <c:numRef>
              <c:f>Sheet3!$E$5:$E$13</c:f>
              <c:numCache>
                <c:formatCode>General</c:formatCode>
                <c:ptCount val="9"/>
                <c:pt idx="0">
                  <c:v>15750</c:v>
                </c:pt>
                <c:pt idx="1">
                  <c:v>49000</c:v>
                </c:pt>
                <c:pt idx="3">
                  <c:v>25375</c:v>
                </c:pt>
                <c:pt idx="5">
                  <c:v>40950</c:v>
                </c:pt>
                <c:pt idx="6">
                  <c:v>55650</c:v>
                </c:pt>
                <c:pt idx="7">
                  <c:v>41825</c:v>
                </c:pt>
                <c:pt idx="8">
                  <c:v>47250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E0-4706-988D-FE091BAF1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52751"/>
        <c:axId val="304950991"/>
      </c:areaChart>
      <c:catAx>
        <c:axId val="197152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50991"/>
        <c:crosses val="autoZero"/>
        <c:auto val="1"/>
        <c:lblAlgn val="ctr"/>
        <c:lblOffset val="100"/>
        <c:noMultiLvlLbl val="0"/>
      </c:catAx>
      <c:valAx>
        <c:axId val="30495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52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[NEHA WORKBOOK PRECTIC.xlsx]Sheet13!PivotTable9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[NEHA WORKBOOK PRECTIC.xlsx]Sheet14!PivotTable11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[NEHA WORKBOOK PRECTIC.xlsx]Sheet15!PivotTable13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[NEHA WORKBOOK PRECTIC.xlsx]Sheet16!PivotTable14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[NEHA WORKBOOK PRECTIC.xlsx]Sheet17!PivotTable17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[NEHA WORKBOOK PRECTIC.xlsx]Sheet18!PivotTable18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[NEHA WORKBOOK PRECTIC.xlsx]Sheet19!PivotTable19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[NEHA WORKBOOK PRECTIC.xlsx]Sheet20!PivotTable20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[NEHA WORKBOOK PRECTIC.xlsx]Sheet21!PivotTable21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[NEHA WORKBOOK PRECTIC.xlsx]Sheet23!PivotTable23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7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23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531019</xdr:colOff>
      <xdr:row>26</xdr:row>
      <xdr:rowOff>50006</xdr:rowOff>
    </xdr:from>
    <xdr:to>
      <xdr:col>10</xdr:col>
      <xdr:colOff>330994</xdr:colOff>
      <xdr:row>39</xdr:row>
      <xdr:rowOff>164306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319088</xdr:colOff>
      <xdr:row>15</xdr:row>
      <xdr:rowOff>33337</xdr:rowOff>
    </xdr:from>
    <xdr:to>
      <xdr:col>8</xdr:col>
      <xdr:colOff>71438</xdr:colOff>
      <xdr:row>25</xdr:row>
      <xdr:rowOff>180975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95488" y="3605212"/>
          <a:ext cx="4781550" cy="252888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214314</xdr:colOff>
      <xdr:row>3</xdr:row>
      <xdr:rowOff>195262</xdr:rowOff>
    </xdr:from>
    <xdr:to>
      <xdr:col>8</xdr:col>
      <xdr:colOff>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0752CE-CAA2-40DD-BACF-A30A75758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800100</xdr:colOff>
      <xdr:row>3</xdr:row>
      <xdr:rowOff>200025</xdr:rowOff>
    </xdr:from>
    <xdr:to>
      <xdr:col>13</xdr:col>
      <xdr:colOff>723900</xdr:colOff>
      <xdr:row>15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692B85-1CBF-4DDC-8D1F-3DEF4758A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319087</xdr:colOff>
      <xdr:row>15</xdr:row>
      <xdr:rowOff>33337</xdr:rowOff>
    </xdr:from>
    <xdr:to>
      <xdr:col>8</xdr:col>
      <xdr:colOff>123824</xdr:colOff>
      <xdr:row>25</xdr:row>
      <xdr:rowOff>209550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823F3E-1F00-4F3A-AB85-ED6A68786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690562</xdr:colOff>
      <xdr:row>15</xdr:row>
      <xdr:rowOff>47624</xdr:rowOff>
    </xdr:from>
    <xdr:to>
      <xdr:col>13</xdr:col>
      <xdr:colOff>742949</xdr:colOff>
      <xdr:row>25</xdr:row>
      <xdr:rowOff>233361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FF8A03-AFC7-41B8-8D3B-02696B539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16" refreshedDate="46244.439355439812" createdVersion="8" refreshedVersion="8" minRefreshableVersion="3" recordCount="100" xr:uid="{A2558624-29CD-40AA-ADE7-0C668DC0AE66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/>
    </cacheField>
    <cacheField name="First Name" numFmtId="0">
      <sharedItems/>
    </cacheField>
    <cacheField name="Last Name" numFmtId="0">
      <sharedItems/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15">
      <sharedItems containsSemiMixedTypes="0" containsNonDate="0" containsDate="1" containsString="0" minDate="1977-01-01T00:00:00" maxDate="1999-12-13T00:00:00"/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s v="Raja"/>
    <s v="Raymondekar"/>
    <x v="0"/>
    <x v="0"/>
    <x v="0"/>
    <d v="1977-01-01T00:00:00"/>
    <n v="21875"/>
  </r>
  <r>
    <n v="3"/>
    <s v="Kuldeep"/>
    <s v="Sharma"/>
    <x v="1"/>
    <x v="1"/>
    <x v="1"/>
    <d v="1999-03-01T00:00:00"/>
    <n v="7000"/>
  </r>
  <r>
    <n v="4"/>
    <s v="Beena"/>
    <s v="Mavadia"/>
    <x v="2"/>
    <x v="0"/>
    <x v="2"/>
    <d v="1979-11-24T00:00:00"/>
    <n v="12250"/>
  </r>
  <r>
    <n v="5"/>
    <s v="Seema"/>
    <s v="Ranganathan"/>
    <x v="3"/>
    <x v="0"/>
    <x v="3"/>
    <d v="1989-09-04T00:00:00"/>
    <n v="21000"/>
  </r>
  <r>
    <n v="6"/>
    <s v="Julie"/>
    <s v="D'Souza"/>
    <x v="1"/>
    <x v="0"/>
    <x v="4"/>
    <d v="1988-09-04T00:00:00"/>
    <n v="12425"/>
  </r>
  <r>
    <n v="7"/>
    <s v="Deepak"/>
    <s v="Jain"/>
    <x v="4"/>
    <x v="2"/>
    <x v="5"/>
    <d v="1990-08-17T00:00:00"/>
    <n v="12425"/>
  </r>
  <r>
    <n v="8"/>
    <s v="Neena"/>
    <s v="Mukherjee"/>
    <x v="3"/>
    <x v="0"/>
    <x v="6"/>
    <d v="1989-09-04T00:00:00"/>
    <n v="12425"/>
  </r>
  <r>
    <n v="9"/>
    <s v="Pankaj"/>
    <s v="Sutradhar"/>
    <x v="0"/>
    <x v="0"/>
    <x v="7"/>
    <d v="1999-12-12T00:00:00"/>
    <n v="14875"/>
  </r>
  <r>
    <n v="10"/>
    <s v="Andre"/>
    <s v="Fernendes"/>
    <x v="2"/>
    <x v="3"/>
    <x v="8"/>
    <d v="1977-07-20T00:00:00"/>
    <n v="15750"/>
  </r>
  <r>
    <n v="11"/>
    <s v="Sujay"/>
    <s v="Madhrani"/>
    <x v="5"/>
    <x v="2"/>
    <x v="5"/>
    <d v="1985-12-21T00:00:00"/>
    <n v="14875"/>
  </r>
  <r>
    <n v="12"/>
    <s v="Shilpa"/>
    <s v="Lele"/>
    <x v="1"/>
    <x v="0"/>
    <x v="9"/>
    <d v="1983-03-01T00:00:00"/>
    <n v="21000"/>
  </r>
  <r>
    <n v="13"/>
    <s v="Meera"/>
    <s v="Lalwani"/>
    <x v="5"/>
    <x v="3"/>
    <x v="10"/>
    <d v="1984-12-11T00:00:00"/>
    <n v="19250"/>
  </r>
  <r>
    <n v="14"/>
    <s v="Sheetal"/>
    <s v="Desai"/>
    <x v="6"/>
    <x v="1"/>
    <x v="11"/>
    <d v="1984-12-12T00:00:00"/>
    <n v="49000"/>
  </r>
  <r>
    <n v="15"/>
    <s v="K. Sita"/>
    <s v="Narayanan"/>
    <x v="4"/>
    <x v="0"/>
    <x v="9"/>
    <d v="1984-12-13T00:00:00"/>
    <n v="14875"/>
  </r>
  <r>
    <n v="16"/>
    <s v="Priya"/>
    <s v="Shirodkar"/>
    <x v="4"/>
    <x v="0"/>
    <x v="12"/>
    <d v="1984-12-14T00:00:00"/>
    <n v="14875"/>
  </r>
  <r>
    <n v="17"/>
    <s v="aalok"/>
    <s v="Trivedi"/>
    <x v="1"/>
    <x v="3"/>
    <x v="13"/>
    <d v="1983-03-01T00:00:00"/>
    <n v="15750"/>
  </r>
  <r>
    <n v="18"/>
    <s v="Aakash"/>
    <s v="Dixit"/>
    <x v="1"/>
    <x v="2"/>
    <x v="14"/>
    <d v="1983-03-01T00:00:00"/>
    <n v="15750"/>
  </r>
  <r>
    <n v="19"/>
    <s v="Parvati"/>
    <s v="Khanna"/>
    <x v="2"/>
    <x v="0"/>
    <x v="4"/>
    <d v="1986-08-13T00:00:00"/>
    <n v="10500"/>
  </r>
  <r>
    <n v="20"/>
    <s v="Farhan"/>
    <s v="Sadiq"/>
    <x v="2"/>
    <x v="0"/>
    <x v="12"/>
    <d v="1999-06-05T00:00:00"/>
    <n v="5950"/>
  </r>
  <r>
    <n v="21"/>
    <s v="Satinder Kaur"/>
    <s v="Sasan"/>
    <x v="2"/>
    <x v="3"/>
    <x v="15"/>
    <d v="1999-06-06T00:00:00"/>
    <n v="7875"/>
  </r>
  <r>
    <n v="22"/>
    <s v="Suchita"/>
    <s v="Panchal"/>
    <x v="2"/>
    <x v="2"/>
    <x v="14"/>
    <d v="1999-06-07T00:00:00"/>
    <n v="7875"/>
  </r>
  <r>
    <n v="23"/>
    <s v="Shazia"/>
    <s v="Sheikh"/>
    <x v="2"/>
    <x v="2"/>
    <x v="5"/>
    <d v="1999-06-08T00:00:00"/>
    <n v="7875"/>
  </r>
  <r>
    <n v="24"/>
    <s v="Pooja"/>
    <s v="Nimkar"/>
    <x v="0"/>
    <x v="2"/>
    <x v="14"/>
    <d v="1980-05-21T00:00:00"/>
    <n v="14875"/>
  </r>
  <r>
    <n v="25"/>
    <s v="Jasbinder"/>
    <s v="Khurana"/>
    <x v="3"/>
    <x v="1"/>
    <x v="16"/>
    <d v="1999-04-24T00:00:00"/>
    <n v="7875"/>
  </r>
  <r>
    <n v="26"/>
    <s v="Bharat"/>
    <s v="Shetty"/>
    <x v="0"/>
    <x v="3"/>
    <x v="13"/>
    <d v="1982-10-01T00:00:00"/>
    <n v="19250"/>
  </r>
  <r>
    <n v="27"/>
    <s v="Rishi"/>
    <s v="Malik"/>
    <x v="0"/>
    <x v="1"/>
    <x v="17"/>
    <d v="1992-07-02T00:00:00"/>
    <n v="13125"/>
  </r>
  <r>
    <n v="28"/>
    <s v="Mala"/>
    <s v="Bhaduri"/>
    <x v="3"/>
    <x v="2"/>
    <x v="18"/>
    <d v="1995-03-19T00:00:00"/>
    <n v="10500"/>
  </r>
  <r>
    <n v="29"/>
    <s v="Hajra"/>
    <s v="Hoonjan"/>
    <x v="1"/>
    <x v="0"/>
    <x v="12"/>
    <d v="1996-05-04T00:00:00"/>
    <n v="9625"/>
  </r>
  <r>
    <n v="30"/>
    <s v="Aalam"/>
    <s v="Qureshi"/>
    <x v="4"/>
    <x v="3"/>
    <x v="15"/>
    <d v="1988-10-19T00:00:00"/>
    <n v="14175"/>
  </r>
  <r>
    <n v="31"/>
    <s v="Giriraj"/>
    <s v="Gupta"/>
    <x v="3"/>
    <x v="0"/>
    <x v="6"/>
    <d v="1982-10-01T00:00:00"/>
    <n v="15750"/>
  </r>
  <r>
    <n v="32"/>
    <s v="Ankur"/>
    <s v="Joshi"/>
    <x v="7"/>
    <x v="1"/>
    <x v="16"/>
    <d v="1982-10-01T00:00:00"/>
    <n v="15750"/>
  </r>
  <r>
    <n v="33"/>
    <s v="Tapan"/>
    <s v="Ghoshal"/>
    <x v="7"/>
    <x v="0"/>
    <x v="7"/>
    <d v="1997-07-07T00:00:00"/>
    <n v="7000"/>
  </r>
  <r>
    <n v="34"/>
    <s v="Zarina"/>
    <s v="Vora"/>
    <x v="7"/>
    <x v="0"/>
    <x v="19"/>
    <d v="1991-09-29T00:00:00"/>
    <n v="8750"/>
  </r>
  <r>
    <n v="35"/>
    <s v="Arun"/>
    <s v="Joshi"/>
    <x v="2"/>
    <x v="1"/>
    <x v="16"/>
    <d v="1992-05-05T00:00:00"/>
    <n v="9275"/>
  </r>
  <r>
    <n v="36"/>
    <s v="Pooja"/>
    <s v="Khetan"/>
    <x v="4"/>
    <x v="2"/>
    <x v="20"/>
    <d v="1994-09-03T00:00:00"/>
    <n v="11725"/>
  </r>
  <r>
    <n v="37"/>
    <s v="Shilpa"/>
    <s v="Parikh"/>
    <x v="5"/>
    <x v="1"/>
    <x v="21"/>
    <d v="1982-10-01T00:00:00"/>
    <n v="24500"/>
  </r>
  <r>
    <n v="38"/>
    <s v="Chitra"/>
    <s v="Pednekar"/>
    <x v="5"/>
    <x v="0"/>
    <x v="22"/>
    <d v="1982-10-01T00:00:00"/>
    <n v="24500"/>
  </r>
  <r>
    <n v="39"/>
    <s v="Sheetal"/>
    <s v="Dodhia"/>
    <x v="5"/>
    <x v="0"/>
    <x v="2"/>
    <d v="1982-10-01T00:00:00"/>
    <n v="24500"/>
  </r>
  <r>
    <n v="40"/>
    <s v="Richa"/>
    <s v="Raje"/>
    <x v="0"/>
    <x v="1"/>
    <x v="16"/>
    <d v="1991-09-29T00:00:00"/>
    <n v="10500"/>
  </r>
  <r>
    <n v="41"/>
    <s v="Kirtikar"/>
    <s v="Sardesai"/>
    <x v="1"/>
    <x v="3"/>
    <x v="8"/>
    <d v="1997-06-14T00:00:00"/>
    <n v="7875"/>
  </r>
  <r>
    <n v="42"/>
    <s v="Pooja"/>
    <s v="Gokhale"/>
    <x v="3"/>
    <x v="3"/>
    <x v="10"/>
    <d v="1991-09-29T00:00:00"/>
    <n v="13300"/>
  </r>
  <r>
    <n v="43"/>
    <s v="Piyush"/>
    <s v="Surti"/>
    <x v="4"/>
    <x v="2"/>
    <x v="18"/>
    <d v="1988-10-19T00:00:00"/>
    <n v="15750"/>
  </r>
  <r>
    <n v="44"/>
    <s v="Shaheen"/>
    <s v="Khan"/>
    <x v="4"/>
    <x v="3"/>
    <x v="13"/>
    <d v="1990-11-17T00:00:00"/>
    <n v="13825"/>
  </r>
  <r>
    <n v="45"/>
    <s v="Kinnari"/>
    <s v="Mehta"/>
    <x v="3"/>
    <x v="0"/>
    <x v="0"/>
    <d v="1997-07-07T00:00:00"/>
    <n v="11375"/>
  </r>
  <r>
    <n v="46"/>
    <s v="Jeena"/>
    <s v="Baig"/>
    <x v="0"/>
    <x v="0"/>
    <x v="19"/>
    <d v="1991-09-29T00:00:00"/>
    <n v="15750"/>
  </r>
  <r>
    <n v="47"/>
    <s v="Vicky"/>
    <s v="Joshi"/>
    <x v="1"/>
    <x v="0"/>
    <x v="3"/>
    <d v="1988-02-07T00:00:00"/>
    <n v="15750"/>
  </r>
  <r>
    <n v="48"/>
    <s v="Neha"/>
    <s v="Joshi"/>
    <x v="7"/>
    <x v="2"/>
    <x v="23"/>
    <d v="1988-10-19T00:00:00"/>
    <n v="15750"/>
  </r>
  <r>
    <n v="49"/>
    <s v="Rakesh"/>
    <s v="Kumar"/>
    <x v="7"/>
    <x v="1"/>
    <x v="11"/>
    <d v="1988-10-19T00:00:00"/>
    <n v="15750"/>
  </r>
  <r>
    <n v="50"/>
    <s v="Ruheal"/>
    <s v="Baig"/>
    <x v="4"/>
    <x v="2"/>
    <x v="23"/>
    <d v="1988-10-19T00:00:00"/>
    <n v="15750"/>
  </r>
  <r>
    <n v="51"/>
    <s v="Mario"/>
    <s v="Fernandes"/>
    <x v="0"/>
    <x v="0"/>
    <x v="9"/>
    <d v="1988-10-20T00:00:00"/>
    <n v="15750"/>
  </r>
  <r>
    <n v="52"/>
    <s v="Heena"/>
    <s v="Godbole"/>
    <x v="7"/>
    <x v="0"/>
    <x v="19"/>
    <d v="1988-10-21T00:00:00"/>
    <n v="19250"/>
  </r>
  <r>
    <n v="53"/>
    <s v="Mehul"/>
    <s v="Sheth"/>
    <x v="7"/>
    <x v="2"/>
    <x v="24"/>
    <d v="1995-12-01T00:00:00"/>
    <n v="15750"/>
  </r>
  <r>
    <n v="54"/>
    <s v="Vishal"/>
    <s v="Virsinghani"/>
    <x v="7"/>
    <x v="3"/>
    <x v="25"/>
    <d v="1995-03-03T00:00:00"/>
    <n v="15750"/>
  </r>
  <r>
    <n v="55"/>
    <s v="Lalita"/>
    <s v="Rao"/>
    <x v="7"/>
    <x v="3"/>
    <x v="26"/>
    <d v="1986-11-01T00:00:00"/>
    <n v="15750"/>
  </r>
  <r>
    <n v="56"/>
    <s v="Kajal"/>
    <s v="Joglekar"/>
    <x v="0"/>
    <x v="2"/>
    <x v="24"/>
    <d v="1992-10-01T00:00:00"/>
    <n v="14875"/>
  </r>
  <r>
    <n v="57"/>
    <s v="Katti"/>
    <s v="Surti"/>
    <x v="0"/>
    <x v="1"/>
    <x v="27"/>
    <d v="1993-05-09T00:00:00"/>
    <n v="14875"/>
  </r>
  <r>
    <n v="58"/>
    <s v="Maya"/>
    <s v="Panchal"/>
    <x v="2"/>
    <x v="0"/>
    <x v="6"/>
    <d v="1990-11-05T00:00:00"/>
    <n v="17500"/>
  </r>
  <r>
    <n v="59"/>
    <s v="Disha"/>
    <s v="Parmar"/>
    <x v="1"/>
    <x v="1"/>
    <x v="17"/>
    <d v="1987-01-14T00:00:00"/>
    <n v="19250"/>
  </r>
  <r>
    <n v="60"/>
    <s v="Geeta"/>
    <s v="Darekar"/>
    <x v="2"/>
    <x v="1"/>
    <x v="28"/>
    <d v="1987-11-24T00:00:00"/>
    <n v="19250"/>
  </r>
  <r>
    <n v="61"/>
    <s v="Anuradha"/>
    <s v="Zha"/>
    <x v="1"/>
    <x v="0"/>
    <x v="6"/>
    <d v="1987-11-25T00:00:00"/>
    <n v="19250"/>
  </r>
  <r>
    <n v="62"/>
    <s v="Asha"/>
    <s v="Trivedi"/>
    <x v="0"/>
    <x v="0"/>
    <x v="3"/>
    <d v="1987-11-26T00:00:00"/>
    <n v="19251"/>
  </r>
  <r>
    <n v="63"/>
    <s v="Waheda"/>
    <s v="Sheikh"/>
    <x v="3"/>
    <x v="0"/>
    <x v="9"/>
    <d v="1988-10-24T00:00:00"/>
    <n v="17500"/>
  </r>
  <r>
    <n v="64"/>
    <s v="Veena"/>
    <s v="Patil"/>
    <x v="4"/>
    <x v="1"/>
    <x v="1"/>
    <d v="1988-10-25T00:00:00"/>
    <n v="17500"/>
  </r>
  <r>
    <n v="65"/>
    <s v="Timsi"/>
    <s v="Desai"/>
    <x v="7"/>
    <x v="3"/>
    <x v="10"/>
    <d v="1988-10-26T00:00:00"/>
    <n v="17500"/>
  </r>
  <r>
    <n v="66"/>
    <s v="Parul"/>
    <s v="Shah"/>
    <x v="4"/>
    <x v="0"/>
    <x v="6"/>
    <d v="1988-10-27T00:00:00"/>
    <n v="17500"/>
  </r>
  <r>
    <n v="67"/>
    <s v="Uday"/>
    <s v="Naik"/>
    <x v="4"/>
    <x v="0"/>
    <x v="19"/>
    <d v="1988-10-28T00:00:00"/>
    <n v="20125"/>
  </r>
  <r>
    <n v="68"/>
    <s v="Mandakini"/>
    <s v="Desai"/>
    <x v="0"/>
    <x v="0"/>
    <x v="2"/>
    <d v="1995-12-01T00:00:00"/>
    <n v="14000"/>
  </r>
  <r>
    <n v="69"/>
    <s v="Pravin"/>
    <s v="Joshi"/>
    <x v="4"/>
    <x v="0"/>
    <x v="2"/>
    <d v="1995-03-03T00:00:00"/>
    <n v="14000"/>
  </r>
  <r>
    <n v="70"/>
    <s v="Reeta"/>
    <s v="Naik"/>
    <x v="2"/>
    <x v="3"/>
    <x v="10"/>
    <d v="1995-03-04T00:00:00"/>
    <n v="14000"/>
  </r>
  <r>
    <n v="71"/>
    <s v="Surendra"/>
    <s v="Godse"/>
    <x v="3"/>
    <x v="2"/>
    <x v="29"/>
    <d v="1995-03-05T00:00:00"/>
    <n v="14000"/>
  </r>
  <r>
    <n v="72"/>
    <s v="Yamini"/>
    <s v="Gupta"/>
    <x v="3"/>
    <x v="1"/>
    <x v="21"/>
    <d v="1988-10-22T00:00:00"/>
    <n v="17500"/>
  </r>
  <r>
    <n v="73"/>
    <s v="Laveena"/>
    <s v="Shenoy"/>
    <x v="7"/>
    <x v="0"/>
    <x v="12"/>
    <d v="1988-10-23T00:00:00"/>
    <n v="17500"/>
  </r>
  <r>
    <n v="74"/>
    <s v="Nita"/>
    <s v="Pandhya"/>
    <x v="0"/>
    <x v="3"/>
    <x v="8"/>
    <d v="1988-10-24T00:00:00"/>
    <n v="17500"/>
  </r>
  <r>
    <n v="75"/>
    <s v="Suraj"/>
    <s v="Saksena"/>
    <x v="1"/>
    <x v="3"/>
    <x v="10"/>
    <d v="1988-10-25T00:00:00"/>
    <n v="17500"/>
  </r>
  <r>
    <n v="76"/>
    <s v="Nayeem"/>
    <s v="Khan"/>
    <x v="7"/>
    <x v="2"/>
    <x v="29"/>
    <d v="1988-10-26T00:00:00"/>
    <n v="17500"/>
  </r>
  <r>
    <n v="77"/>
    <s v="Drishti"/>
    <s v="Shah"/>
    <x v="3"/>
    <x v="0"/>
    <x v="2"/>
    <d v="1988-10-27T00:00:00"/>
    <n v="17500"/>
  </r>
  <r>
    <n v="78"/>
    <s v="Deep"/>
    <s v="Chhaya"/>
    <x v="0"/>
    <x v="2"/>
    <x v="18"/>
    <d v="1988-10-28T00:00:00"/>
    <n v="17500"/>
  </r>
  <r>
    <n v="79"/>
    <s v="Sagar"/>
    <s v="Bidkar"/>
    <x v="2"/>
    <x v="0"/>
    <x v="2"/>
    <d v="1988-10-29T00:00:00"/>
    <n v="17500"/>
  </r>
  <r>
    <n v="80"/>
    <s v="Dayanand"/>
    <s v="Gandhi"/>
    <x v="2"/>
    <x v="0"/>
    <x v="0"/>
    <d v="1988-10-30T00:00:00"/>
    <n v="17500"/>
  </r>
  <r>
    <n v="81"/>
    <s v="Tara"/>
    <s v="Phule"/>
    <x v="7"/>
    <x v="1"/>
    <x v="27"/>
    <d v="1988-10-31T00:00:00"/>
    <n v="17500"/>
  </r>
  <r>
    <n v="82"/>
    <s v="Kalpana"/>
    <s v="Shirishkar"/>
    <x v="3"/>
    <x v="3"/>
    <x v="13"/>
    <d v="1988-11-01T00:00:00"/>
    <n v="17500"/>
  </r>
  <r>
    <n v="83"/>
    <s v="Kunal"/>
    <s v="Shah"/>
    <x v="7"/>
    <x v="0"/>
    <x v="22"/>
    <d v="1999-03-02T00:00:00"/>
    <n v="7000"/>
  </r>
  <r>
    <n v="84"/>
    <s v="Pinky"/>
    <s v="Robert"/>
    <x v="3"/>
    <x v="3"/>
    <x v="10"/>
    <d v="1999-03-03T00:00:00"/>
    <n v="7000"/>
  </r>
  <r>
    <n v="85"/>
    <s v="Ruby"/>
    <s v="Joseph"/>
    <x v="3"/>
    <x v="0"/>
    <x v="6"/>
    <d v="1998-01-14T00:00:00"/>
    <n v="7000"/>
  </r>
  <r>
    <n v="86"/>
    <s v="Sonia"/>
    <s v="Sasan"/>
    <x v="7"/>
    <x v="0"/>
    <x v="9"/>
    <d v="1998-01-15T00:00:00"/>
    <n v="17500"/>
  </r>
  <r>
    <n v="87"/>
    <s v="Jignesh"/>
    <s v="Tripathi"/>
    <x v="2"/>
    <x v="1"/>
    <x v="1"/>
    <d v="1998-01-16T00:00:00"/>
    <n v="17500"/>
  </r>
  <r>
    <n v="88"/>
    <s v="Vinit"/>
    <s v="Shrivastava"/>
    <x v="2"/>
    <x v="2"/>
    <x v="5"/>
    <d v="1997-12-30T00:00:00"/>
    <n v="7875"/>
  </r>
  <r>
    <n v="89"/>
    <s v="Tejal"/>
    <s v="Patel"/>
    <x v="0"/>
    <x v="0"/>
    <x v="22"/>
    <d v="1979-02-21T00:00:00"/>
    <n v="22750"/>
  </r>
  <r>
    <n v="90"/>
    <s v="Priyanka"/>
    <s v="Mehta"/>
    <x v="3"/>
    <x v="0"/>
    <x v="12"/>
    <d v="1980-01-06T00:00:00"/>
    <n v="22750"/>
  </r>
  <r>
    <n v="91"/>
    <s v="Niki"/>
    <s v="Digaria"/>
    <x v="0"/>
    <x v="3"/>
    <x v="10"/>
    <d v="1979-11-13T00:00:00"/>
    <n v="22750"/>
  </r>
  <r>
    <n v="92"/>
    <s v="Payal"/>
    <s v="Singhani"/>
    <x v="2"/>
    <x v="3"/>
    <x v="25"/>
    <d v="1989-04-05T00:00:00"/>
    <n v="17325"/>
  </r>
  <r>
    <n v="93"/>
    <s v="Harsha"/>
    <s v="Trivedi"/>
    <x v="0"/>
    <x v="1"/>
    <x v="17"/>
    <d v="1989-04-06T00:00:00"/>
    <n v="17325"/>
  </r>
  <r>
    <n v="94"/>
    <s v="Radhika"/>
    <s v="Kulkarni"/>
    <x v="2"/>
    <x v="2"/>
    <x v="20"/>
    <d v="1989-04-07T00:00:00"/>
    <n v="17325"/>
  </r>
  <r>
    <n v="95"/>
    <s v="Kabir"/>
    <s v="Vora"/>
    <x v="2"/>
    <x v="1"/>
    <x v="17"/>
    <d v="1989-04-08T00:00:00"/>
    <n v="17325"/>
  </r>
  <r>
    <n v="96"/>
    <s v="Beena"/>
    <s v="Sharma"/>
    <x v="3"/>
    <x v="2"/>
    <x v="24"/>
    <d v="1989-04-09T00:00:00"/>
    <n v="17325"/>
  </r>
  <r>
    <n v="97"/>
    <s v="Pushpa"/>
    <s v="Raut"/>
    <x v="3"/>
    <x v="1"/>
    <x v="28"/>
    <d v="1989-04-10T00:00:00"/>
    <n v="17325"/>
  </r>
  <r>
    <n v="98"/>
    <s v="Chetan"/>
    <s v="Dalvi"/>
    <x v="7"/>
    <x v="0"/>
    <x v="2"/>
    <d v="1989-04-11T00:00:00"/>
    <n v="17325"/>
  </r>
  <r>
    <n v="99"/>
    <s v="Indu"/>
    <s v="Shah"/>
    <x v="5"/>
    <x v="2"/>
    <x v="18"/>
    <d v="1997-12-30T00:00:00"/>
    <n v="10500"/>
  </r>
  <r>
    <n v="100"/>
    <s v="Rupesh"/>
    <s v="Sawant"/>
    <x v="5"/>
    <x v="1"/>
    <x v="1"/>
    <d v="1999-02-02T00:00:00"/>
    <n v="7875"/>
  </r>
  <r>
    <n v="101"/>
    <s v="ravi"/>
    <s v="Sharma"/>
    <x v="8"/>
    <x v="3"/>
    <x v="13"/>
    <d v="1977-01-01T00:00:0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0CA430-DEF5-4176-B0FE-8395F4E7AA2C}" name="PivotTable24" cacheId="3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I4:M14" firstHeaderRow="1" firstDataRow="2" firstDataCol="1"/>
  <pivotFields count="8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1"/>
        <item x="7"/>
        <item x="6"/>
        <item x="5"/>
        <item x="8"/>
        <item x="2"/>
        <item x="4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4"/>
  </colFields>
  <colItems count="4">
    <i>
      <x/>
    </i>
    <i>
      <x v="1"/>
    </i>
    <i>
      <x v="2"/>
    </i>
    <i>
      <x v="3"/>
    </i>
  </colItems>
  <dataFields count="1">
    <dataField name="Sum of Empcode" fld="0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3D39D-20C9-4CB4-8EFB-530F62C10EA9}" name="PivotTable23" cacheId="3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0">
  <location ref="A3:E13" firstHeaderRow="1" firstDataRow="2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1"/>
        <item x="7"/>
        <item x="6"/>
        <item x="5"/>
        <item x="8"/>
        <item x="2"/>
        <item x="4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0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4"/>
  </colFields>
  <colItems count="4">
    <i>
      <x/>
    </i>
    <i>
      <x v="1"/>
    </i>
    <i>
      <x v="2"/>
    </i>
    <i>
      <x v="3"/>
    </i>
  </colItems>
  <dataFields count="1">
    <dataField name="Sum of Salary" fld="7" baseField="0" baseItem="0"/>
  </dataFields>
  <chartFormats count="32">
    <chartFormat chart="3" format="1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3" format="1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3" format="14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12" tableBorderDxfId="11" totalsRowBorderDxfId="10">
  <autoFilter ref="B3:D13" xr:uid="{0B6F1990-0E07-4640-B76C-3AD7A383AA1D}"/>
  <tableColumns count="3">
    <tableColumn id="1" xr3:uid="{00000000-0010-0000-0100-000001000000}" name="Date" dataDxfId="9"/>
    <tableColumn id="2" xr3:uid="{00000000-0010-0000-0100-000002000000}" name="Product Name" dataDxfId="8"/>
    <tableColumn id="3" xr3:uid="{00000000-0010-0000-0100-000003000000}" name="Amount" dataDxf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BC534-6E2E-4A10-BC9A-6B5A59E7EEA0}" name="Table32" displayName="Table32" ref="B17:D27" totalsRowShown="0" headerRowBorderDxfId="6" tableBorderDxfId="5" totalsRowBorderDxfId="4">
  <autoFilter ref="B17:D27" xr:uid="{E4FBC534-6E2E-4A10-BC9A-6B5A59E7EEA0}"/>
  <tableColumns count="3">
    <tableColumn id="1" xr3:uid="{1B5D3437-CCB5-487B-8946-E083A0CA070B}" name="Date" dataDxfId="3"/>
    <tableColumn id="2" xr3:uid="{586F1CB0-7285-47F0-AB60-17FEEEBE1B8F}" name="Product Name" dataDxfId="2"/>
    <tableColumn id="3" xr3:uid="{C0D3C6C9-EE03-4146-AEC9-74D8C8F372A3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7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8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9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0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1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2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3.x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4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workbookViewId="0"/>
  </sheetViews>
  <sheetFormatPr defaultRowHeight="18.75" x14ac:dyDescent="0.3"/>
  <cols>
    <col min="1" max="1" width="6" style="130" customWidth="1"/>
    <col min="2" max="2" width="39.296875" style="130" bestFit="1" customWidth="1"/>
    <col min="3" max="3" width="11.19921875" style="130" bestFit="1" customWidth="1"/>
  </cols>
  <sheetData>
    <row r="1" spans="1:3" x14ac:dyDescent="0.3">
      <c r="A1" s="130" t="s">
        <v>0</v>
      </c>
      <c r="B1" s="130" t="s">
        <v>1</v>
      </c>
      <c r="C1" s="131" t="s">
        <v>2</v>
      </c>
    </row>
    <row r="2" spans="1:3" x14ac:dyDescent="0.3">
      <c r="A2" s="130">
        <v>1</v>
      </c>
      <c r="B2" s="131" t="s">
        <v>3</v>
      </c>
      <c r="C2" s="131" t="s">
        <v>4</v>
      </c>
    </row>
    <row r="3" spans="1:3" x14ac:dyDescent="0.3">
      <c r="A3" s="130">
        <v>2</v>
      </c>
      <c r="B3" s="131" t="s">
        <v>5</v>
      </c>
      <c r="C3" s="131" t="s">
        <v>6</v>
      </c>
    </row>
    <row r="4" spans="1:3" x14ac:dyDescent="0.3">
      <c r="A4" s="130">
        <v>3</v>
      </c>
      <c r="B4" s="131" t="s">
        <v>7</v>
      </c>
      <c r="C4" s="131" t="s">
        <v>8</v>
      </c>
    </row>
    <row r="5" spans="1:3" x14ac:dyDescent="0.3">
      <c r="A5" s="130">
        <v>4</v>
      </c>
      <c r="B5" s="131" t="s">
        <v>9</v>
      </c>
      <c r="C5" s="131" t="s">
        <v>10</v>
      </c>
    </row>
    <row r="6" spans="1:3" x14ac:dyDescent="0.3">
      <c r="A6" s="130">
        <v>5</v>
      </c>
      <c r="B6" s="131" t="s">
        <v>11</v>
      </c>
    </row>
    <row r="7" spans="1:3" x14ac:dyDescent="0.3">
      <c r="A7" s="130">
        <v>6</v>
      </c>
      <c r="B7" s="131" t="s">
        <v>12</v>
      </c>
    </row>
    <row r="8" spans="1:3" x14ac:dyDescent="0.3">
      <c r="A8" s="130">
        <v>7</v>
      </c>
      <c r="B8" s="131" t="s">
        <v>13</v>
      </c>
    </row>
    <row r="9" spans="1:3" x14ac:dyDescent="0.3">
      <c r="A9" s="130">
        <v>8</v>
      </c>
      <c r="B9" s="131" t="s">
        <v>14</v>
      </c>
    </row>
    <row r="10" spans="1:3" x14ac:dyDescent="0.3">
      <c r="A10" s="130">
        <v>9</v>
      </c>
      <c r="B10" s="131" t="s">
        <v>15</v>
      </c>
    </row>
    <row r="11" spans="1:3" x14ac:dyDescent="0.3">
      <c r="A11" s="130">
        <v>10</v>
      </c>
      <c r="B11" s="131" t="s">
        <v>16</v>
      </c>
    </row>
    <row r="12" spans="1:3" x14ac:dyDescent="0.3">
      <c r="A12" s="130">
        <v>11</v>
      </c>
      <c r="B12" s="131" t="s">
        <v>17</v>
      </c>
    </row>
    <row r="13" spans="1:3" x14ac:dyDescent="0.3">
      <c r="A13" s="130">
        <v>12</v>
      </c>
      <c r="B13" s="131" t="s">
        <v>18</v>
      </c>
    </row>
    <row r="14" spans="1:3" x14ac:dyDescent="0.3">
      <c r="A14" s="130">
        <v>13</v>
      </c>
      <c r="B14" s="131" t="s">
        <v>19</v>
      </c>
    </row>
    <row r="15" spans="1:3" x14ac:dyDescent="0.3">
      <c r="A15" s="130">
        <v>14</v>
      </c>
      <c r="B15" s="131" t="s">
        <v>20</v>
      </c>
    </row>
    <row r="16" spans="1:3" x14ac:dyDescent="0.3">
      <c r="A16" s="130">
        <v>15</v>
      </c>
      <c r="B16" s="131" t="s">
        <v>21</v>
      </c>
    </row>
    <row r="17" spans="1:2" x14ac:dyDescent="0.3">
      <c r="A17" s="130">
        <v>16</v>
      </c>
      <c r="B17" s="131" t="s">
        <v>22</v>
      </c>
    </row>
    <row r="18" spans="1:2" x14ac:dyDescent="0.3">
      <c r="A18" s="130">
        <v>17</v>
      </c>
      <c r="B18" s="131" t="s">
        <v>23</v>
      </c>
    </row>
    <row r="19" spans="1:2" x14ac:dyDescent="0.3">
      <c r="A19" s="130">
        <v>18</v>
      </c>
      <c r="B19" s="131" t="s">
        <v>24</v>
      </c>
    </row>
    <row r="20" spans="1:2" x14ac:dyDescent="0.3">
      <c r="A20" s="130">
        <v>19</v>
      </c>
      <c r="B20" s="131" t="s">
        <v>25</v>
      </c>
    </row>
    <row r="21" spans="1:2" x14ac:dyDescent="0.3">
      <c r="A21" s="130">
        <v>20</v>
      </c>
      <c r="B21" s="131" t="s">
        <v>26</v>
      </c>
    </row>
    <row r="22" spans="1:2" x14ac:dyDescent="0.3">
      <c r="A22" s="130">
        <v>21</v>
      </c>
      <c r="B22" s="131" t="s">
        <v>27</v>
      </c>
    </row>
    <row r="23" spans="1:2" x14ac:dyDescent="0.3">
      <c r="A23" s="130">
        <v>22</v>
      </c>
      <c r="B23" s="131" t="s">
        <v>28</v>
      </c>
    </row>
    <row r="24" spans="1:2" x14ac:dyDescent="0.3">
      <c r="A24" s="130">
        <v>23</v>
      </c>
      <c r="B24" s="131" t="s">
        <v>29</v>
      </c>
    </row>
    <row r="25" spans="1:2" x14ac:dyDescent="0.3">
      <c r="A25" s="130">
        <v>24</v>
      </c>
      <c r="B25" s="131" t="s">
        <v>30</v>
      </c>
    </row>
    <row r="26" spans="1:2" x14ac:dyDescent="0.3">
      <c r="A26" s="130">
        <v>25</v>
      </c>
      <c r="B26" s="131" t="s">
        <v>31</v>
      </c>
    </row>
    <row r="27" spans="1:2" x14ac:dyDescent="0.3">
      <c r="A27" s="130">
        <v>26</v>
      </c>
      <c r="B27" s="131" t="s">
        <v>32</v>
      </c>
    </row>
    <row r="28" spans="1:2" x14ac:dyDescent="0.3">
      <c r="A28" s="130">
        <v>27</v>
      </c>
      <c r="B28" s="131" t="s">
        <v>33</v>
      </c>
    </row>
    <row r="29" spans="1:2" x14ac:dyDescent="0.3">
      <c r="A29" s="130">
        <v>28</v>
      </c>
      <c r="B29" s="131" t="s">
        <v>34</v>
      </c>
    </row>
    <row r="30" spans="1:2" x14ac:dyDescent="0.3">
      <c r="A30" s="130">
        <v>29</v>
      </c>
      <c r="B30" s="131" t="s">
        <v>35</v>
      </c>
    </row>
    <row r="31" spans="1:2" x14ac:dyDescent="0.3">
      <c r="A31" s="130">
        <v>30</v>
      </c>
      <c r="B31" s="131" t="s">
        <v>36</v>
      </c>
    </row>
    <row r="32" spans="1:2" x14ac:dyDescent="0.3">
      <c r="A32" s="130">
        <v>31</v>
      </c>
      <c r="B32" s="131" t="s">
        <v>37</v>
      </c>
    </row>
    <row r="33" spans="1:2" x14ac:dyDescent="0.3">
      <c r="A33" s="130">
        <v>32</v>
      </c>
      <c r="B33" s="131" t="s">
        <v>38</v>
      </c>
    </row>
    <row r="34" spans="1:2" x14ac:dyDescent="0.3">
      <c r="A34" s="130">
        <v>33</v>
      </c>
      <c r="B34" s="131" t="s">
        <v>39</v>
      </c>
    </row>
    <row r="35" spans="1:2" x14ac:dyDescent="0.3">
      <c r="A35" s="130">
        <v>34</v>
      </c>
      <c r="B35" s="131" t="s">
        <v>40</v>
      </c>
    </row>
    <row r="36" spans="1:2" x14ac:dyDescent="0.3">
      <c r="A36" s="130">
        <v>35</v>
      </c>
      <c r="B36" s="131" t="s">
        <v>41</v>
      </c>
    </row>
    <row r="37" spans="1:2" x14ac:dyDescent="0.3">
      <c r="A37" s="130">
        <v>36</v>
      </c>
      <c r="B37" s="131" t="s">
        <v>42</v>
      </c>
    </row>
    <row r="38" spans="1:2" x14ac:dyDescent="0.3">
      <c r="A38" s="130">
        <v>37</v>
      </c>
      <c r="B38" s="131" t="s">
        <v>43</v>
      </c>
    </row>
    <row r="39" spans="1:2" x14ac:dyDescent="0.3">
      <c r="A39" s="130">
        <v>38</v>
      </c>
      <c r="B39" s="131" t="s">
        <v>44</v>
      </c>
    </row>
    <row r="40" spans="1:2" x14ac:dyDescent="0.3">
      <c r="A40" s="130">
        <v>39</v>
      </c>
      <c r="B40" s="131" t="s">
        <v>45</v>
      </c>
    </row>
    <row r="41" spans="1:2" x14ac:dyDescent="0.3">
      <c r="A41" s="130">
        <v>40</v>
      </c>
      <c r="B41" s="131" t="s">
        <v>46</v>
      </c>
    </row>
    <row r="42" spans="1:2" x14ac:dyDescent="0.3">
      <c r="A42" s="130">
        <v>41</v>
      </c>
      <c r="B42" s="131" t="s">
        <v>47</v>
      </c>
    </row>
    <row r="43" spans="1:2" x14ac:dyDescent="0.3">
      <c r="A43" s="130">
        <v>42</v>
      </c>
      <c r="B43" s="131" t="s">
        <v>48</v>
      </c>
    </row>
    <row r="44" spans="1:2" x14ac:dyDescent="0.3">
      <c r="A44" s="130">
        <v>43</v>
      </c>
      <c r="B44" s="131" t="s">
        <v>49</v>
      </c>
    </row>
    <row r="45" spans="1:2" x14ac:dyDescent="0.3">
      <c r="A45" s="130">
        <v>44</v>
      </c>
      <c r="B45" s="131" t="s">
        <v>50</v>
      </c>
    </row>
    <row r="46" spans="1:2" x14ac:dyDescent="0.3">
      <c r="A46" s="130">
        <v>45</v>
      </c>
      <c r="B46" s="131" t="s">
        <v>51</v>
      </c>
    </row>
    <row r="47" spans="1:2" x14ac:dyDescent="0.3">
      <c r="A47" s="130">
        <v>46</v>
      </c>
      <c r="B47" s="131" t="s">
        <v>52</v>
      </c>
    </row>
    <row r="48" spans="1:2" x14ac:dyDescent="0.3">
      <c r="A48" s="130">
        <v>47</v>
      </c>
      <c r="B48" s="131" t="s">
        <v>53</v>
      </c>
    </row>
    <row r="49" spans="1:2" x14ac:dyDescent="0.3">
      <c r="A49" s="130">
        <v>48</v>
      </c>
      <c r="B49" s="131" t="s">
        <v>54</v>
      </c>
    </row>
    <row r="50" spans="1:2" x14ac:dyDescent="0.3">
      <c r="A50" s="130">
        <v>49</v>
      </c>
      <c r="B50" s="131" t="s">
        <v>55</v>
      </c>
    </row>
    <row r="51" spans="1:2" x14ac:dyDescent="0.3">
      <c r="A51" s="130">
        <v>50</v>
      </c>
      <c r="B51" s="131" t="s">
        <v>56</v>
      </c>
    </row>
    <row r="52" spans="1:2" x14ac:dyDescent="0.3">
      <c r="A52" s="130">
        <v>51</v>
      </c>
      <c r="B52" s="131" t="s">
        <v>57</v>
      </c>
    </row>
    <row r="53" spans="1:2" x14ac:dyDescent="0.3">
      <c r="A53" s="130">
        <v>52</v>
      </c>
      <c r="B53" s="131" t="s">
        <v>58</v>
      </c>
    </row>
    <row r="54" spans="1:2" x14ac:dyDescent="0.3">
      <c r="A54" s="130">
        <v>53</v>
      </c>
      <c r="B54" s="131" t="s">
        <v>59</v>
      </c>
    </row>
    <row r="55" spans="1:2" x14ac:dyDescent="0.3">
      <c r="A55" s="130">
        <v>54</v>
      </c>
      <c r="B55" s="131" t="s">
        <v>60</v>
      </c>
    </row>
    <row r="56" spans="1:2" x14ac:dyDescent="0.3">
      <c r="A56" s="130">
        <v>55</v>
      </c>
      <c r="B56" s="131" t="s">
        <v>61</v>
      </c>
    </row>
    <row r="57" spans="1:2" x14ac:dyDescent="0.3">
      <c r="A57" s="130">
        <v>56</v>
      </c>
      <c r="B57" s="131" t="s">
        <v>62</v>
      </c>
    </row>
    <row r="58" spans="1:2" x14ac:dyDescent="0.3">
      <c r="A58" s="130">
        <v>57</v>
      </c>
      <c r="B58" s="131" t="s">
        <v>63</v>
      </c>
    </row>
    <row r="59" spans="1:2" x14ac:dyDescent="0.3">
      <c r="A59" s="130">
        <v>58</v>
      </c>
      <c r="B59" s="131" t="s">
        <v>64</v>
      </c>
    </row>
    <row r="60" spans="1:2" x14ac:dyDescent="0.3">
      <c r="A60" s="130">
        <v>59</v>
      </c>
      <c r="B60" s="131" t="s">
        <v>65</v>
      </c>
    </row>
    <row r="61" spans="1:2" x14ac:dyDescent="0.3">
      <c r="A61" s="130">
        <v>60</v>
      </c>
      <c r="B61" s="131" t="s">
        <v>66</v>
      </c>
    </row>
    <row r="62" spans="1:2" x14ac:dyDescent="0.3">
      <c r="A62" s="130">
        <v>61</v>
      </c>
      <c r="B62" s="131" t="s">
        <v>67</v>
      </c>
    </row>
    <row r="63" spans="1:2" x14ac:dyDescent="0.3">
      <c r="A63" s="130">
        <v>62</v>
      </c>
      <c r="B63" s="131" t="s">
        <v>68</v>
      </c>
    </row>
    <row r="64" spans="1:2" x14ac:dyDescent="0.3">
      <c r="A64" s="130">
        <v>63</v>
      </c>
      <c r="B64" s="131" t="s">
        <v>69</v>
      </c>
    </row>
    <row r="65" spans="1:2" x14ac:dyDescent="0.3">
      <c r="A65" s="130">
        <v>64</v>
      </c>
      <c r="B65" s="131" t="s">
        <v>70</v>
      </c>
    </row>
    <row r="66" spans="1:2" x14ac:dyDescent="0.3">
      <c r="A66" s="130">
        <v>65</v>
      </c>
      <c r="B66" s="131" t="s">
        <v>71</v>
      </c>
    </row>
    <row r="67" spans="1:2" x14ac:dyDescent="0.3">
      <c r="A67" s="130">
        <v>66</v>
      </c>
      <c r="B67" s="131" t="s">
        <v>72</v>
      </c>
    </row>
    <row r="68" spans="1:2" x14ac:dyDescent="0.3">
      <c r="A68" s="130">
        <v>67</v>
      </c>
      <c r="B68" s="131" t="s">
        <v>73</v>
      </c>
    </row>
    <row r="69" spans="1:2" x14ac:dyDescent="0.3">
      <c r="A69" s="130">
        <v>68</v>
      </c>
      <c r="B69" s="131" t="s">
        <v>74</v>
      </c>
    </row>
    <row r="70" spans="1:2" x14ac:dyDescent="0.3">
      <c r="A70" s="130">
        <v>69</v>
      </c>
      <c r="B70" s="131" t="s">
        <v>75</v>
      </c>
    </row>
    <row r="71" spans="1:2" x14ac:dyDescent="0.3">
      <c r="A71" s="130">
        <v>70</v>
      </c>
      <c r="B71" s="131" t="s">
        <v>76</v>
      </c>
    </row>
    <row r="72" spans="1:2" x14ac:dyDescent="0.3">
      <c r="A72" s="130">
        <v>71</v>
      </c>
      <c r="B72" s="131" t="s">
        <v>77</v>
      </c>
    </row>
    <row r="73" spans="1:2" x14ac:dyDescent="0.3">
      <c r="A73" s="130">
        <v>72</v>
      </c>
      <c r="B73" s="131" t="s">
        <v>78</v>
      </c>
    </row>
    <row r="74" spans="1:2" x14ac:dyDescent="0.3">
      <c r="A74" s="130">
        <v>73</v>
      </c>
      <c r="B74" s="131" t="s">
        <v>79</v>
      </c>
    </row>
    <row r="75" spans="1:2" x14ac:dyDescent="0.3">
      <c r="A75" s="130">
        <v>74</v>
      </c>
      <c r="B75" s="131" t="s">
        <v>80</v>
      </c>
    </row>
    <row r="76" spans="1:2" x14ac:dyDescent="0.3">
      <c r="A76" s="130">
        <v>75</v>
      </c>
      <c r="B76" s="131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2" activePane="bottomLeft" state="frozen"/>
      <selection pane="bottomLeft" activeCell="G4" sqref="G4:G11"/>
    </sheetView>
  </sheetViews>
  <sheetFormatPr defaultRowHeight="18.75" x14ac:dyDescent="0.3"/>
  <cols>
    <col min="2" max="2" width="14" customWidth="1"/>
    <col min="3" max="3" width="10.796875" customWidth="1"/>
    <col min="4" max="4" width="9.59765625" customWidth="1"/>
    <col min="5" max="5" width="9.8984375" customWidth="1"/>
    <col min="6" max="6" width="9.5" customWidth="1"/>
  </cols>
  <sheetData>
    <row r="1" spans="1:13" s="2" customFormat="1" ht="32.65" customHeight="1" thickBot="1" x14ac:dyDescent="0.35">
      <c r="A1" s="36">
        <v>1</v>
      </c>
      <c r="B1" s="1" t="s">
        <v>82</v>
      </c>
    </row>
    <row r="2" spans="1:13" x14ac:dyDescent="0.3">
      <c r="A2" s="37" t="s">
        <v>2</v>
      </c>
    </row>
    <row r="3" spans="1:13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G3" s="40" t="s">
        <v>88</v>
      </c>
      <c r="I3" s="38"/>
      <c r="J3" s="38"/>
      <c r="K3" s="38"/>
      <c r="L3" s="38"/>
      <c r="M3" s="38"/>
    </row>
    <row r="4" spans="1:13" x14ac:dyDescent="0.3">
      <c r="B4" s="39" t="s">
        <v>89</v>
      </c>
      <c r="C4" s="39" t="s">
        <v>90</v>
      </c>
      <c r="D4" s="39">
        <v>15000</v>
      </c>
      <c r="E4" s="39">
        <v>22000</v>
      </c>
      <c r="F4" s="39">
        <v>18000</v>
      </c>
      <c r="G4" s="54">
        <f>SUM(D4:F4)</f>
        <v>55000</v>
      </c>
    </row>
    <row r="5" spans="1:13" x14ac:dyDescent="0.3">
      <c r="B5" s="39" t="s">
        <v>91</v>
      </c>
      <c r="C5" s="39" t="s">
        <v>92</v>
      </c>
      <c r="D5" s="39">
        <v>27000</v>
      </c>
      <c r="E5" s="39">
        <v>10500</v>
      </c>
      <c r="F5" s="39">
        <v>8500</v>
      </c>
      <c r="G5" s="54">
        <f t="shared" ref="G5:G11" si="0">SUM(D5:F5)</f>
        <v>46000</v>
      </c>
    </row>
    <row r="6" spans="1:13" x14ac:dyDescent="0.3">
      <c r="B6" s="39" t="s">
        <v>93</v>
      </c>
      <c r="C6" s="39" t="s">
        <v>94</v>
      </c>
      <c r="D6" s="39">
        <v>9200</v>
      </c>
      <c r="E6" s="39">
        <v>8800</v>
      </c>
      <c r="F6" s="39">
        <v>32000</v>
      </c>
      <c r="G6" s="54">
        <f t="shared" si="0"/>
        <v>50000</v>
      </c>
    </row>
    <row r="7" spans="1:13" x14ac:dyDescent="0.3">
      <c r="B7" s="39" t="s">
        <v>89</v>
      </c>
      <c r="C7" s="39" t="s">
        <v>90</v>
      </c>
      <c r="D7" s="39">
        <v>33000</v>
      </c>
      <c r="E7" s="39">
        <v>29000</v>
      </c>
      <c r="F7" s="39">
        <v>21000</v>
      </c>
      <c r="G7" s="54">
        <f t="shared" si="0"/>
        <v>83000</v>
      </c>
    </row>
    <row r="8" spans="1:13" x14ac:dyDescent="0.3">
      <c r="B8" s="39" t="s">
        <v>91</v>
      </c>
      <c r="C8" s="39" t="s">
        <v>92</v>
      </c>
      <c r="D8" s="39">
        <v>17500</v>
      </c>
      <c r="E8" s="39">
        <v>14200</v>
      </c>
      <c r="F8" s="39">
        <v>11200</v>
      </c>
      <c r="G8" s="54">
        <f t="shared" si="0"/>
        <v>42900</v>
      </c>
    </row>
    <row r="9" spans="1:13" x14ac:dyDescent="0.3">
      <c r="B9" s="39" t="s">
        <v>93</v>
      </c>
      <c r="C9" s="39" t="s">
        <v>94</v>
      </c>
      <c r="D9" s="39">
        <v>18500</v>
      </c>
      <c r="E9" s="39">
        <v>19000</v>
      </c>
      <c r="F9" s="39">
        <v>24500</v>
      </c>
      <c r="G9" s="54">
        <f t="shared" si="0"/>
        <v>62000</v>
      </c>
    </row>
    <row r="10" spans="1:13" x14ac:dyDescent="0.3">
      <c r="B10" s="39" t="s">
        <v>89</v>
      </c>
      <c r="C10" s="39" t="s">
        <v>90</v>
      </c>
      <c r="D10" s="39">
        <v>11000</v>
      </c>
      <c r="E10" s="39">
        <v>17000</v>
      </c>
      <c r="F10" s="39">
        <v>14000</v>
      </c>
      <c r="G10" s="54">
        <f t="shared" si="0"/>
        <v>42000</v>
      </c>
    </row>
    <row r="11" spans="1:13" x14ac:dyDescent="0.3">
      <c r="B11" s="39" t="s">
        <v>91</v>
      </c>
      <c r="C11" s="39" t="s">
        <v>92</v>
      </c>
      <c r="D11" s="41">
        <v>8700</v>
      </c>
      <c r="E11" s="41">
        <v>9500</v>
      </c>
      <c r="F11" s="41">
        <v>7600</v>
      </c>
      <c r="G11" s="54">
        <f t="shared" si="0"/>
        <v>25800</v>
      </c>
    </row>
    <row r="12" spans="1:13" x14ac:dyDescent="0.3">
      <c r="B12" s="132" t="s">
        <v>95</v>
      </c>
      <c r="C12" s="38"/>
      <c r="D12" s="54"/>
      <c r="E12" s="54"/>
      <c r="F12" s="54"/>
      <c r="G12" s="39"/>
    </row>
    <row r="16" spans="1:13" x14ac:dyDescent="0.3">
      <c r="B16" s="3" t="s">
        <v>83</v>
      </c>
      <c r="C16" s="3" t="s">
        <v>84</v>
      </c>
      <c r="D16" s="3" t="s">
        <v>96</v>
      </c>
    </row>
    <row r="17" spans="2:4" x14ac:dyDescent="0.3">
      <c r="B17" s="4" t="s">
        <v>97</v>
      </c>
      <c r="C17" s="4" t="s">
        <v>90</v>
      </c>
      <c r="D17" s="4">
        <v>12000</v>
      </c>
    </row>
    <row r="18" spans="2:4" x14ac:dyDescent="0.3">
      <c r="B18" s="4" t="s">
        <v>97</v>
      </c>
      <c r="C18" s="4" t="s">
        <v>92</v>
      </c>
      <c r="D18" s="4">
        <v>34000</v>
      </c>
    </row>
    <row r="19" spans="2:4" x14ac:dyDescent="0.3">
      <c r="B19" s="4" t="s">
        <v>97</v>
      </c>
      <c r="C19" s="4" t="s">
        <v>90</v>
      </c>
      <c r="D19" s="4">
        <v>76000</v>
      </c>
    </row>
    <row r="20" spans="2:4" ht="19.5" thickBot="1" x14ac:dyDescent="0.35">
      <c r="B20" s="7" t="s">
        <v>98</v>
      </c>
      <c r="C20" s="6"/>
      <c r="D20" s="7">
        <f>SUM(D17:D19)</f>
        <v>122000</v>
      </c>
    </row>
    <row r="21" spans="2:4" x14ac:dyDescent="0.3">
      <c r="B21" s="5" t="s">
        <v>99</v>
      </c>
      <c r="C21" s="5" t="s">
        <v>92</v>
      </c>
      <c r="D21" s="5">
        <v>45000</v>
      </c>
    </row>
    <row r="22" spans="2:4" x14ac:dyDescent="0.3">
      <c r="B22" s="4" t="s">
        <v>99</v>
      </c>
      <c r="C22" s="4" t="s">
        <v>94</v>
      </c>
      <c r="D22" s="4">
        <v>44000</v>
      </c>
    </row>
    <row r="23" spans="2:4" x14ac:dyDescent="0.3">
      <c r="B23" s="4" t="s">
        <v>99</v>
      </c>
      <c r="C23" s="4" t="s">
        <v>90</v>
      </c>
      <c r="D23" s="4">
        <v>2500</v>
      </c>
    </row>
    <row r="24" spans="2:4" ht="19.5" thickBot="1" x14ac:dyDescent="0.35">
      <c r="B24" s="7" t="s">
        <v>98</v>
      </c>
      <c r="C24" s="6"/>
      <c r="D24" s="7">
        <f>SUM(D21:D23)</f>
        <v>91500</v>
      </c>
    </row>
    <row r="25" spans="2:4" x14ac:dyDescent="0.3">
      <c r="B25" s="5" t="s">
        <v>100</v>
      </c>
      <c r="C25" s="5" t="s">
        <v>92</v>
      </c>
      <c r="D25" s="5">
        <v>6500</v>
      </c>
    </row>
    <row r="26" spans="2:4" x14ac:dyDescent="0.3">
      <c r="B26" s="4" t="s">
        <v>100</v>
      </c>
      <c r="C26" s="4" t="s">
        <v>92</v>
      </c>
      <c r="D26" s="4">
        <v>6501</v>
      </c>
    </row>
    <row r="27" spans="2:4" ht="19.5" thickBot="1" x14ac:dyDescent="0.3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topLeftCell="B1" zoomScale="130" zoomScaleNormal="130" workbookViewId="0">
      <pane ySplit="1" topLeftCell="A13" activePane="bottomLeft" state="frozen"/>
      <selection pane="bottomLeft" activeCell="G17" sqref="G17"/>
    </sheetView>
  </sheetViews>
  <sheetFormatPr defaultRowHeight="18.75" x14ac:dyDescent="0.3"/>
  <cols>
    <col min="2" max="2" width="24.5" customWidth="1"/>
    <col min="6" max="6" width="14" customWidth="1"/>
  </cols>
  <sheetData>
    <row r="1" spans="1:9" s="2" customFormat="1" ht="32.65" customHeight="1" thickBot="1" x14ac:dyDescent="0.35">
      <c r="A1" s="36">
        <v>2</v>
      </c>
      <c r="B1" s="148" t="s">
        <v>101</v>
      </c>
      <c r="C1" s="148"/>
      <c r="D1" s="148"/>
      <c r="E1" s="148"/>
      <c r="F1" s="148"/>
      <c r="G1" s="148"/>
      <c r="H1" s="148"/>
    </row>
    <row r="2" spans="1:9" x14ac:dyDescent="0.3">
      <c r="A2" s="37" t="s">
        <v>2</v>
      </c>
    </row>
    <row r="3" spans="1:9" x14ac:dyDescent="0.3">
      <c r="B3" s="42" t="s">
        <v>83</v>
      </c>
      <c r="C3" s="42" t="s">
        <v>84</v>
      </c>
      <c r="D3" s="42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8"/>
      <c r="I3" s="38"/>
    </row>
    <row r="4" spans="1:9" x14ac:dyDescent="0.3">
      <c r="B4" s="39" t="s">
        <v>89</v>
      </c>
      <c r="C4" s="39" t="s">
        <v>90</v>
      </c>
      <c r="D4" s="39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 x14ac:dyDescent="0.3">
      <c r="B5" s="39" t="s">
        <v>91</v>
      </c>
      <c r="C5" s="39" t="s">
        <v>92</v>
      </c>
      <c r="D5" s="39">
        <v>7400</v>
      </c>
      <c r="E5">
        <f t="shared" ref="E5:E13" si="0">IF(D5&gt;10000,5000,IF(D5&gt;=5000,3000,2000))</f>
        <v>3000</v>
      </c>
      <c r="G5">
        <f>SUMIF(B4:B13,F4,D4:D13)</f>
        <v>44300</v>
      </c>
    </row>
    <row r="6" spans="1:9" x14ac:dyDescent="0.3">
      <c r="B6" s="39" t="s">
        <v>93</v>
      </c>
      <c r="C6" s="39" t="s">
        <v>94</v>
      </c>
      <c r="D6" s="39">
        <v>32000</v>
      </c>
      <c r="E6">
        <f t="shared" si="0"/>
        <v>5000</v>
      </c>
    </row>
    <row r="7" spans="1:9" x14ac:dyDescent="0.3">
      <c r="B7" s="39" t="s">
        <v>89</v>
      </c>
      <c r="C7" s="39" t="s">
        <v>90</v>
      </c>
      <c r="D7" s="39">
        <v>26000</v>
      </c>
      <c r="E7">
        <f t="shared" si="0"/>
        <v>5000</v>
      </c>
      <c r="F7">
        <f>SUM(D4:D13)</f>
        <v>167000</v>
      </c>
    </row>
    <row r="8" spans="1:9" x14ac:dyDescent="0.3">
      <c r="B8" s="39" t="s">
        <v>91</v>
      </c>
      <c r="C8" s="39" t="s">
        <v>92</v>
      </c>
      <c r="D8" s="39">
        <v>9200</v>
      </c>
      <c r="E8">
        <f t="shared" si="0"/>
        <v>3000</v>
      </c>
      <c r="F8" t="s">
        <v>103</v>
      </c>
    </row>
    <row r="9" spans="1:9" x14ac:dyDescent="0.3">
      <c r="B9" s="39" t="s">
        <v>93</v>
      </c>
      <c r="C9" s="39" t="s">
        <v>94</v>
      </c>
      <c r="D9" s="39">
        <v>6200</v>
      </c>
      <c r="E9">
        <f t="shared" si="0"/>
        <v>3000</v>
      </c>
      <c r="F9">
        <f>SUMIF(D4:D13,F8)</f>
        <v>35000</v>
      </c>
    </row>
    <row r="10" spans="1:9" x14ac:dyDescent="0.3">
      <c r="B10" s="39" t="s">
        <v>89</v>
      </c>
      <c r="C10" s="39" t="s">
        <v>90</v>
      </c>
      <c r="D10" s="39">
        <v>29000</v>
      </c>
      <c r="E10">
        <f t="shared" si="0"/>
        <v>5000</v>
      </c>
      <c r="F10">
        <f>SUMIF(D4:D13,"&gt;10000")</f>
        <v>132000</v>
      </c>
    </row>
    <row r="11" spans="1:9" x14ac:dyDescent="0.3">
      <c r="B11" s="39" t="s">
        <v>91</v>
      </c>
      <c r="C11" s="39" t="s">
        <v>92</v>
      </c>
      <c r="D11" s="39">
        <v>6100</v>
      </c>
      <c r="E11">
        <f t="shared" si="0"/>
        <v>3000</v>
      </c>
    </row>
    <row r="12" spans="1:9" x14ac:dyDescent="0.3">
      <c r="B12" s="39" t="s">
        <v>93</v>
      </c>
      <c r="C12" s="39" t="s">
        <v>94</v>
      </c>
      <c r="D12" s="39">
        <v>6100</v>
      </c>
      <c r="E12">
        <f t="shared" si="0"/>
        <v>3000</v>
      </c>
      <c r="F12" t="s">
        <v>104</v>
      </c>
    </row>
    <row r="13" spans="1:9" x14ac:dyDescent="0.3">
      <c r="B13" s="39" t="s">
        <v>89</v>
      </c>
      <c r="C13" s="39" t="s">
        <v>90</v>
      </c>
      <c r="D13" s="39">
        <v>27000</v>
      </c>
      <c r="E13">
        <f t="shared" si="0"/>
        <v>5000</v>
      </c>
    </row>
    <row r="15" spans="1:9" x14ac:dyDescent="0.3">
      <c r="B15" t="s">
        <v>105</v>
      </c>
    </row>
    <row r="16" spans="1:9" x14ac:dyDescent="0.3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7" x14ac:dyDescent="0.3">
      <c r="B17" s="4" t="s">
        <v>97</v>
      </c>
      <c r="C17" s="4" t="s">
        <v>90</v>
      </c>
      <c r="D17" s="4">
        <v>34000</v>
      </c>
      <c r="F17" s="4"/>
      <c r="G17" s="4">
        <f>SUMIF(D17:D26,"&gt;10000")</f>
        <v>245000</v>
      </c>
    </row>
    <row r="18" spans="2:7" x14ac:dyDescent="0.3">
      <c r="B18" s="4" t="s">
        <v>106</v>
      </c>
      <c r="C18" s="4" t="s">
        <v>92</v>
      </c>
      <c r="D18" s="4">
        <v>5000</v>
      </c>
    </row>
    <row r="19" spans="2:7" x14ac:dyDescent="0.3">
      <c r="B19" s="4" t="s">
        <v>107</v>
      </c>
      <c r="C19" s="4" t="s">
        <v>94</v>
      </c>
      <c r="D19" s="4">
        <v>76000</v>
      </c>
    </row>
    <row r="20" spans="2:7" x14ac:dyDescent="0.3">
      <c r="B20" s="4" t="s">
        <v>108</v>
      </c>
      <c r="C20" s="4" t="s">
        <v>90</v>
      </c>
      <c r="D20" s="4">
        <v>45000</v>
      </c>
    </row>
    <row r="21" spans="2:7" x14ac:dyDescent="0.3">
      <c r="B21" s="4" t="s">
        <v>109</v>
      </c>
      <c r="C21" s="4" t="s">
        <v>92</v>
      </c>
      <c r="D21" s="4">
        <v>8700</v>
      </c>
    </row>
    <row r="22" spans="2:7" x14ac:dyDescent="0.3">
      <c r="B22" s="4" t="s">
        <v>110</v>
      </c>
      <c r="C22" s="4" t="s">
        <v>94</v>
      </c>
      <c r="D22" s="4">
        <v>5600</v>
      </c>
    </row>
    <row r="23" spans="2:7" x14ac:dyDescent="0.3">
      <c r="B23" s="4" t="s">
        <v>108</v>
      </c>
      <c r="C23" s="4" t="s">
        <v>90</v>
      </c>
      <c r="D23" s="4">
        <v>45000</v>
      </c>
    </row>
    <row r="24" spans="2:7" x14ac:dyDescent="0.3">
      <c r="B24" s="4" t="s">
        <v>99</v>
      </c>
      <c r="C24" s="4" t="s">
        <v>92</v>
      </c>
      <c r="D24" s="4">
        <v>5600</v>
      </c>
    </row>
    <row r="25" spans="2:7" x14ac:dyDescent="0.3">
      <c r="B25" s="4" t="s">
        <v>111</v>
      </c>
      <c r="C25" s="4" t="s">
        <v>94</v>
      </c>
      <c r="D25" s="4">
        <v>5600</v>
      </c>
    </row>
    <row r="26" spans="2:7" x14ac:dyDescent="0.3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15" activePane="bottomLeft" state="frozen"/>
      <selection pane="bottomLeft" activeCell="G18" sqref="G18"/>
    </sheetView>
  </sheetViews>
  <sheetFormatPr defaultRowHeight="18.75" x14ac:dyDescent="0.3"/>
  <cols>
    <col min="2" max="2" width="14" customWidth="1"/>
    <col min="6" max="6" width="14" customWidth="1"/>
  </cols>
  <sheetData>
    <row r="1" spans="1:11" s="2" customFormat="1" ht="32.65" customHeight="1" thickBot="1" x14ac:dyDescent="0.35">
      <c r="A1" s="36">
        <v>3</v>
      </c>
      <c r="B1" s="1" t="s">
        <v>112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8"/>
      <c r="K3" s="38"/>
    </row>
    <row r="4" spans="1:11" x14ac:dyDescent="0.3">
      <c r="B4" s="39" t="s">
        <v>89</v>
      </c>
      <c r="C4" s="39" t="s">
        <v>90</v>
      </c>
      <c r="D4" s="39">
        <v>19500</v>
      </c>
      <c r="F4" s="4" t="s">
        <v>113</v>
      </c>
      <c r="G4" s="4">
        <f>SUMIF(B4:B13,F4,D4:D13)</f>
        <v>6000</v>
      </c>
      <c r="I4" t="str">
        <f t="array" ref="I4:I7">_xlfn.UNIQUE(B4:B13)</f>
        <v>Tablet</v>
      </c>
    </row>
    <row r="5" spans="1:11" x14ac:dyDescent="0.3">
      <c r="B5" s="39" t="s">
        <v>91</v>
      </c>
      <c r="C5" s="39" t="s">
        <v>92</v>
      </c>
      <c r="D5" s="39">
        <v>6400</v>
      </c>
      <c r="I5" t="str">
        <v>Speaker</v>
      </c>
    </row>
    <row r="6" spans="1:11" x14ac:dyDescent="0.3">
      <c r="B6" s="39" t="s">
        <v>93</v>
      </c>
      <c r="C6" s="39" t="s">
        <v>94</v>
      </c>
      <c r="D6" s="39">
        <v>28500</v>
      </c>
      <c r="I6" t="str">
        <v>Webcam</v>
      </c>
    </row>
    <row r="7" spans="1:11" x14ac:dyDescent="0.3">
      <c r="B7" s="39" t="s">
        <v>89</v>
      </c>
      <c r="C7" s="39" t="s">
        <v>90</v>
      </c>
      <c r="D7" s="39">
        <v>31000</v>
      </c>
      <c r="I7" t="str">
        <v>Router</v>
      </c>
    </row>
    <row r="8" spans="1:11" x14ac:dyDescent="0.3">
      <c r="B8" s="39" t="s">
        <v>91</v>
      </c>
      <c r="C8" s="39" t="s">
        <v>92</v>
      </c>
      <c r="D8" s="39">
        <v>7900</v>
      </c>
    </row>
    <row r="9" spans="1:11" x14ac:dyDescent="0.3">
      <c r="B9" s="39" t="s">
        <v>93</v>
      </c>
      <c r="C9" s="39" t="s">
        <v>94</v>
      </c>
      <c r="D9" s="39">
        <v>7200</v>
      </c>
    </row>
    <row r="10" spans="1:11" x14ac:dyDescent="0.3">
      <c r="B10" s="39" t="s">
        <v>89</v>
      </c>
      <c r="C10" s="39" t="s">
        <v>90</v>
      </c>
      <c r="D10" s="39">
        <v>27000</v>
      </c>
    </row>
    <row r="11" spans="1:11" x14ac:dyDescent="0.3">
      <c r="B11" s="39" t="s">
        <v>91</v>
      </c>
      <c r="C11" s="39" t="s">
        <v>92</v>
      </c>
      <c r="D11" s="39">
        <v>6100</v>
      </c>
    </row>
    <row r="12" spans="1:11" x14ac:dyDescent="0.3">
      <c r="B12" s="39" t="s">
        <v>113</v>
      </c>
      <c r="C12" s="39" t="s">
        <v>94</v>
      </c>
      <c r="D12" s="39">
        <v>6000</v>
      </c>
    </row>
    <row r="13" spans="1:11" x14ac:dyDescent="0.3">
      <c r="B13" s="39" t="s">
        <v>89</v>
      </c>
      <c r="C13" s="39" t="s">
        <v>90</v>
      </c>
      <c r="D13" s="39">
        <v>25000</v>
      </c>
    </row>
    <row r="17" spans="2:7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3">
      <c r="B18" s="4" t="s">
        <v>97</v>
      </c>
      <c r="C18" s="4" t="s">
        <v>90</v>
      </c>
      <c r="D18" s="4">
        <v>34000</v>
      </c>
      <c r="F18" s="4" t="s">
        <v>979</v>
      </c>
      <c r="G18" s="4">
        <f>SUMIF(B18:B27,F18,D18:D27)</f>
        <v>79000</v>
      </c>
    </row>
    <row r="19" spans="2:7" x14ac:dyDescent="0.3">
      <c r="B19" s="4" t="s">
        <v>106</v>
      </c>
      <c r="C19" s="4" t="s">
        <v>92</v>
      </c>
      <c r="D19" s="4">
        <v>5000</v>
      </c>
    </row>
    <row r="20" spans="2:7" x14ac:dyDescent="0.3">
      <c r="B20" s="4" t="s">
        <v>114</v>
      </c>
      <c r="C20" s="4" t="s">
        <v>94</v>
      </c>
      <c r="D20" s="4">
        <v>76000</v>
      </c>
    </row>
    <row r="21" spans="2:7" x14ac:dyDescent="0.3">
      <c r="B21" s="4" t="s">
        <v>108</v>
      </c>
      <c r="C21" s="4" t="s">
        <v>90</v>
      </c>
      <c r="D21" s="4">
        <v>45000</v>
      </c>
    </row>
    <row r="22" spans="2:7" x14ac:dyDescent="0.3">
      <c r="B22" s="4" t="s">
        <v>109</v>
      </c>
      <c r="C22" s="4" t="s">
        <v>92</v>
      </c>
      <c r="D22" s="4">
        <v>8700</v>
      </c>
    </row>
    <row r="23" spans="2:7" x14ac:dyDescent="0.3">
      <c r="B23" s="4" t="s">
        <v>114</v>
      </c>
      <c r="C23" s="4" t="s">
        <v>94</v>
      </c>
      <c r="D23" s="4">
        <v>5600</v>
      </c>
    </row>
    <row r="24" spans="2:7" x14ac:dyDescent="0.3">
      <c r="B24" s="4" t="s">
        <v>108</v>
      </c>
      <c r="C24" s="4" t="s">
        <v>90</v>
      </c>
      <c r="D24" s="4">
        <v>45000</v>
      </c>
    </row>
    <row r="25" spans="2:7" x14ac:dyDescent="0.3">
      <c r="B25" s="4" t="s">
        <v>99</v>
      </c>
      <c r="C25" s="4" t="s">
        <v>92</v>
      </c>
      <c r="D25" s="4">
        <v>5600</v>
      </c>
    </row>
    <row r="26" spans="2:7" x14ac:dyDescent="0.3">
      <c r="B26" s="4" t="s">
        <v>111</v>
      </c>
      <c r="C26" s="4" t="s">
        <v>94</v>
      </c>
      <c r="D26" s="4">
        <v>5600</v>
      </c>
    </row>
    <row r="27" spans="2:7" x14ac:dyDescent="0.3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30" zoomScaleNormal="130" workbookViewId="0">
      <pane ySplit="1" topLeftCell="A14" activePane="bottomLeft" state="frozen"/>
      <selection pane="bottomLeft" activeCell="H18" sqref="H18"/>
    </sheetView>
  </sheetViews>
  <sheetFormatPr defaultRowHeight="18.75" x14ac:dyDescent="0.3"/>
  <cols>
    <col min="2" max="2" width="24.59765625" bestFit="1" customWidth="1"/>
    <col min="6" max="6" width="14" customWidth="1"/>
  </cols>
  <sheetData>
    <row r="1" spans="1:12" s="2" customFormat="1" ht="32.65" customHeight="1" thickBot="1" x14ac:dyDescent="0.35">
      <c r="A1" s="36">
        <v>4</v>
      </c>
      <c r="B1" s="1" t="s">
        <v>115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42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116</v>
      </c>
      <c r="C4" s="60" t="s">
        <v>90</v>
      </c>
      <c r="D4" s="39">
        <v>18500</v>
      </c>
      <c r="F4" s="39" t="s">
        <v>116</v>
      </c>
      <c r="G4" s="4" t="s">
        <v>117</v>
      </c>
      <c r="H4" s="4">
        <f>SUMIFS(D4:D13,B4:B13,F4,C4:C13,G4)</f>
        <v>52000</v>
      </c>
    </row>
    <row r="5" spans="1:12" x14ac:dyDescent="0.3">
      <c r="B5" s="39" t="s">
        <v>118</v>
      </c>
      <c r="C5" s="60" t="s">
        <v>94</v>
      </c>
      <c r="D5" s="39">
        <v>7200</v>
      </c>
      <c r="H5">
        <f>SUMIFS(D4:D13,B4:B13,F4,C4:C13,G4)</f>
        <v>52000</v>
      </c>
    </row>
    <row r="6" spans="1:12" x14ac:dyDescent="0.3">
      <c r="B6" s="39" t="s">
        <v>119</v>
      </c>
      <c r="C6" s="60" t="s">
        <v>94</v>
      </c>
      <c r="D6" s="39">
        <v>30500</v>
      </c>
      <c r="H6">
        <f>SUMIFS(D4:D13,B4:B13,F4,C4:C13,G4)</f>
        <v>52000</v>
      </c>
    </row>
    <row r="7" spans="1:12" x14ac:dyDescent="0.3">
      <c r="B7" s="39" t="s">
        <v>116</v>
      </c>
      <c r="C7" s="60" t="s">
        <v>90</v>
      </c>
      <c r="D7" s="39">
        <v>26000</v>
      </c>
    </row>
    <row r="8" spans="1:12" x14ac:dyDescent="0.3">
      <c r="B8" s="39" t="s">
        <v>118</v>
      </c>
      <c r="C8" s="60" t="s">
        <v>92</v>
      </c>
      <c r="D8" s="39">
        <v>8900</v>
      </c>
    </row>
    <row r="9" spans="1:12" x14ac:dyDescent="0.3">
      <c r="B9" s="39" t="s">
        <v>119</v>
      </c>
      <c r="C9" s="60" t="s">
        <v>94</v>
      </c>
      <c r="D9" s="39">
        <v>6800</v>
      </c>
    </row>
    <row r="10" spans="1:12" x14ac:dyDescent="0.3">
      <c r="B10" s="39" t="s">
        <v>116</v>
      </c>
      <c r="C10" s="60" t="s">
        <v>117</v>
      </c>
      <c r="D10" s="39">
        <v>24500</v>
      </c>
    </row>
    <row r="11" spans="1:12" x14ac:dyDescent="0.3">
      <c r="B11" s="39" t="s">
        <v>118</v>
      </c>
      <c r="C11" s="60" t="s">
        <v>94</v>
      </c>
      <c r="D11" s="39">
        <v>6400</v>
      </c>
    </row>
    <row r="12" spans="1:12" x14ac:dyDescent="0.3">
      <c r="B12" s="39" t="s">
        <v>120</v>
      </c>
      <c r="C12" s="60" t="s">
        <v>94</v>
      </c>
      <c r="D12" s="39">
        <v>6000</v>
      </c>
    </row>
    <row r="13" spans="1:12" x14ac:dyDescent="0.3">
      <c r="B13" s="39" t="s">
        <v>116</v>
      </c>
      <c r="C13" s="60" t="s">
        <v>117</v>
      </c>
      <c r="D13" s="39">
        <v>27500</v>
      </c>
    </row>
    <row r="17" spans="2:12" x14ac:dyDescent="0.3">
      <c r="B17" s="40" t="s">
        <v>83</v>
      </c>
      <c r="C17" s="40" t="s">
        <v>84</v>
      </c>
      <c r="D17" s="40" t="s">
        <v>96</v>
      </c>
      <c r="F17" s="42" t="s">
        <v>83</v>
      </c>
      <c r="G17" s="3" t="s">
        <v>84</v>
      </c>
      <c r="H17" s="3" t="s">
        <v>96</v>
      </c>
      <c r="J17" s="38"/>
      <c r="K17" s="38"/>
      <c r="L17" s="38"/>
    </row>
    <row r="18" spans="2:12" x14ac:dyDescent="0.3">
      <c r="B18" s="39" t="s">
        <v>121</v>
      </c>
      <c r="C18" s="39" t="s">
        <v>90</v>
      </c>
      <c r="D18" s="39">
        <v>21000</v>
      </c>
      <c r="F18" s="39" t="s">
        <v>121</v>
      </c>
      <c r="G18" s="43" t="s">
        <v>90</v>
      </c>
      <c r="H18" s="4">
        <f>SUMIFS(D18:D27,B18:B27,F18,C18:C27,G18)</f>
        <v>103000</v>
      </c>
    </row>
    <row r="19" spans="2:12" x14ac:dyDescent="0.3">
      <c r="B19" s="39" t="s">
        <v>123</v>
      </c>
      <c r="C19" s="39" t="s">
        <v>92</v>
      </c>
      <c r="D19" s="39">
        <v>6200</v>
      </c>
    </row>
    <row r="20" spans="2:12" x14ac:dyDescent="0.3">
      <c r="B20" s="39" t="s">
        <v>124</v>
      </c>
      <c r="C20" s="39" t="s">
        <v>94</v>
      </c>
      <c r="D20" s="39">
        <v>31500</v>
      </c>
    </row>
    <row r="21" spans="2:12" x14ac:dyDescent="0.3">
      <c r="B21" s="39" t="s">
        <v>121</v>
      </c>
      <c r="C21" s="39" t="s">
        <v>90</v>
      </c>
      <c r="D21" s="39">
        <v>29000</v>
      </c>
    </row>
    <row r="22" spans="2:12" x14ac:dyDescent="0.3">
      <c r="B22" s="39" t="s">
        <v>122</v>
      </c>
      <c r="C22" s="39" t="s">
        <v>92</v>
      </c>
      <c r="D22" s="39">
        <v>9400</v>
      </c>
    </row>
    <row r="23" spans="2:12" x14ac:dyDescent="0.3">
      <c r="B23" s="39" t="s">
        <v>124</v>
      </c>
      <c r="C23" s="39" t="s">
        <v>94</v>
      </c>
      <c r="D23" s="39">
        <v>7200</v>
      </c>
    </row>
    <row r="24" spans="2:12" x14ac:dyDescent="0.3">
      <c r="B24" s="39" t="s">
        <v>121</v>
      </c>
      <c r="C24" s="39" t="s">
        <v>90</v>
      </c>
      <c r="D24" s="39">
        <v>27500</v>
      </c>
    </row>
    <row r="25" spans="2:12" x14ac:dyDescent="0.3">
      <c r="B25" s="39" t="s">
        <v>122</v>
      </c>
      <c r="C25" s="39" t="s">
        <v>92</v>
      </c>
      <c r="D25" s="39">
        <v>6800</v>
      </c>
    </row>
    <row r="26" spans="2:12" x14ac:dyDescent="0.3">
      <c r="B26" s="39" t="s">
        <v>125</v>
      </c>
      <c r="C26" s="39" t="s">
        <v>94</v>
      </c>
      <c r="D26" s="39">
        <v>6100</v>
      </c>
    </row>
    <row r="27" spans="2:12" x14ac:dyDescent="0.3">
      <c r="B27" s="39" t="s">
        <v>121</v>
      </c>
      <c r="C27" s="39" t="s">
        <v>90</v>
      </c>
      <c r="D27" s="39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2" activePane="bottomLeft" state="frozen"/>
      <selection pane="bottomLeft" activeCell="G11" sqref="G11"/>
    </sheetView>
  </sheetViews>
  <sheetFormatPr defaultRowHeight="18.75" x14ac:dyDescent="0.3"/>
  <cols>
    <col min="2" max="2" width="14" customWidth="1"/>
    <col min="4" max="6" width="9.5" customWidth="1"/>
  </cols>
  <sheetData>
    <row r="1" spans="1:11" s="2" customFormat="1" ht="32.65" customHeight="1" thickBot="1" x14ac:dyDescent="0.35">
      <c r="A1" s="36">
        <v>5</v>
      </c>
      <c r="B1" s="1" t="s">
        <v>126</v>
      </c>
    </row>
    <row r="2" spans="1:11" x14ac:dyDescent="0.3">
      <c r="A2" s="37" t="s">
        <v>2</v>
      </c>
    </row>
    <row r="3" spans="1:11" x14ac:dyDescent="0.3">
      <c r="B3" s="42" t="s">
        <v>83</v>
      </c>
      <c r="C3" s="42" t="s">
        <v>84</v>
      </c>
      <c r="D3" s="42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">
      <c r="B4" s="39" t="s">
        <v>129</v>
      </c>
      <c r="C4" s="61" t="s">
        <v>90</v>
      </c>
      <c r="D4" s="39">
        <v>15</v>
      </c>
      <c r="E4" s="45">
        <v>450</v>
      </c>
      <c r="F4" s="9">
        <f>PRODUCT(D4:E4)</f>
        <v>6750</v>
      </c>
    </row>
    <row r="5" spans="1:11" x14ac:dyDescent="0.3">
      <c r="B5" s="39" t="s">
        <v>130</v>
      </c>
      <c r="C5" s="61" t="s">
        <v>94</v>
      </c>
      <c r="D5" s="39">
        <v>35</v>
      </c>
      <c r="E5" s="45">
        <v>249</v>
      </c>
      <c r="F5" s="9">
        <f t="shared" ref="F5" si="0">PRODUCT(D5:E5)</f>
        <v>8715</v>
      </c>
    </row>
    <row r="6" spans="1:11" x14ac:dyDescent="0.3">
      <c r="B6" s="39" t="s">
        <v>131</v>
      </c>
      <c r="C6" s="61" t="s">
        <v>94</v>
      </c>
      <c r="D6" s="39">
        <v>45</v>
      </c>
      <c r="E6" s="45">
        <v>4400</v>
      </c>
      <c r="F6" s="4">
        <f>PRODUCT(D6:E6)</f>
        <v>198000</v>
      </c>
    </row>
    <row r="7" spans="1:11" x14ac:dyDescent="0.3">
      <c r="B7" s="39" t="s">
        <v>129</v>
      </c>
      <c r="C7" s="61" t="s">
        <v>90</v>
      </c>
      <c r="D7" s="39">
        <v>250</v>
      </c>
      <c r="E7" s="45">
        <v>700</v>
      </c>
      <c r="F7" s="4">
        <f t="shared" ref="F7:F13" si="1">PRODUCT(D7:E7)</f>
        <v>175000</v>
      </c>
    </row>
    <row r="8" spans="1:11" x14ac:dyDescent="0.3">
      <c r="B8" s="39" t="s">
        <v>130</v>
      </c>
      <c r="C8" s="61" t="s">
        <v>92</v>
      </c>
      <c r="D8" s="39">
        <v>8</v>
      </c>
      <c r="E8" s="45">
        <v>260</v>
      </c>
      <c r="F8" s="4">
        <f t="shared" si="1"/>
        <v>2080</v>
      </c>
    </row>
    <row r="9" spans="1:11" x14ac:dyDescent="0.3">
      <c r="B9" s="39" t="s">
        <v>131</v>
      </c>
      <c r="C9" s="61" t="s">
        <v>94</v>
      </c>
      <c r="D9" s="39">
        <v>38</v>
      </c>
      <c r="E9" s="45">
        <v>5450</v>
      </c>
      <c r="F9" s="4">
        <f t="shared" si="1"/>
        <v>207100</v>
      </c>
    </row>
    <row r="10" spans="1:11" x14ac:dyDescent="0.3">
      <c r="B10" s="39" t="s">
        <v>129</v>
      </c>
      <c r="C10" s="61" t="s">
        <v>117</v>
      </c>
      <c r="D10" s="39">
        <v>90</v>
      </c>
      <c r="E10" s="45">
        <v>5600</v>
      </c>
      <c r="F10" s="4">
        <f t="shared" si="1"/>
        <v>504000</v>
      </c>
    </row>
    <row r="11" spans="1:11" x14ac:dyDescent="0.3">
      <c r="B11" s="39" t="s">
        <v>130</v>
      </c>
      <c r="C11" s="61" t="s">
        <v>94</v>
      </c>
      <c r="D11" s="39">
        <v>60</v>
      </c>
      <c r="E11" s="45">
        <v>205</v>
      </c>
      <c r="F11" s="4">
        <f t="shared" si="1"/>
        <v>12300</v>
      </c>
    </row>
    <row r="12" spans="1:11" x14ac:dyDescent="0.3">
      <c r="B12" s="39" t="s">
        <v>132</v>
      </c>
      <c r="C12" s="61" t="s">
        <v>94</v>
      </c>
      <c r="D12" s="39">
        <v>12</v>
      </c>
      <c r="E12" s="45">
        <v>3900</v>
      </c>
      <c r="F12" s="4">
        <f t="shared" si="1"/>
        <v>46800</v>
      </c>
    </row>
    <row r="13" spans="1:11" x14ac:dyDescent="0.3">
      <c r="B13" s="39" t="s">
        <v>129</v>
      </c>
      <c r="C13" s="61" t="s">
        <v>117</v>
      </c>
      <c r="D13" s="39">
        <v>10</v>
      </c>
      <c r="E13" s="45">
        <v>280</v>
      </c>
      <c r="F13" s="4">
        <f t="shared" si="1"/>
        <v>2800</v>
      </c>
    </row>
    <row r="16" spans="1:11" x14ac:dyDescent="0.3">
      <c r="B16" s="10" t="s">
        <v>133</v>
      </c>
    </row>
    <row r="17" spans="2:2" x14ac:dyDescent="0.3">
      <c r="B17">
        <v>2</v>
      </c>
    </row>
    <row r="18" spans="2:2" x14ac:dyDescent="0.3">
      <c r="B18">
        <v>4</v>
      </c>
    </row>
    <row r="19" spans="2:2" x14ac:dyDescent="0.3">
      <c r="B19">
        <v>5</v>
      </c>
    </row>
    <row r="20" spans="2:2" x14ac:dyDescent="0.3">
      <c r="B20">
        <v>7</v>
      </c>
    </row>
    <row r="21" spans="2:2" x14ac:dyDescent="0.3">
      <c r="B21">
        <v>5</v>
      </c>
    </row>
    <row r="22" spans="2:2" x14ac:dyDescent="0.3">
      <c r="B22">
        <v>4</v>
      </c>
    </row>
    <row r="23" spans="2:2" x14ac:dyDescent="0.3">
      <c r="B23">
        <v>5</v>
      </c>
    </row>
    <row r="24" spans="2:2" x14ac:dyDescent="0.3">
      <c r="B24">
        <v>7</v>
      </c>
    </row>
    <row r="25" spans="2:2" x14ac:dyDescent="0.3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28"/>
  <sheetViews>
    <sheetView zoomScale="130" zoomScaleNormal="130" workbookViewId="0">
      <pane ySplit="1" topLeftCell="A16" activePane="bottomLeft" state="frozen"/>
      <selection pane="bottomLeft" activeCell="F28" sqref="F28"/>
    </sheetView>
  </sheetViews>
  <sheetFormatPr defaultRowHeight="18.75" x14ac:dyDescent="0.3"/>
  <cols>
    <col min="2" max="2" width="16.296875" customWidth="1"/>
    <col min="4" max="5" width="9.5" customWidth="1"/>
    <col min="6" max="6" width="11.19921875" customWidth="1"/>
  </cols>
  <sheetData>
    <row r="1" spans="1:11" s="2" customFormat="1" ht="32.65" customHeight="1" thickBot="1" x14ac:dyDescent="0.35">
      <c r="A1" s="36">
        <v>6</v>
      </c>
      <c r="B1" s="1" t="s">
        <v>134</v>
      </c>
    </row>
    <row r="2" spans="1:11" x14ac:dyDescent="0.3">
      <c r="A2" s="37" t="s">
        <v>2</v>
      </c>
    </row>
    <row r="3" spans="1:11" x14ac:dyDescent="0.3">
      <c r="B3" s="42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">
      <c r="B4" s="39" t="s">
        <v>135</v>
      </c>
      <c r="C4" s="61" t="s">
        <v>90</v>
      </c>
      <c r="D4" s="39">
        <v>12</v>
      </c>
      <c r="E4" s="46">
        <v>300</v>
      </c>
      <c r="F4" s="46">
        <f>D4*E4</f>
        <v>3600</v>
      </c>
    </row>
    <row r="5" spans="1:11" x14ac:dyDescent="0.3">
      <c r="B5" s="39" t="s">
        <v>136</v>
      </c>
      <c r="C5" s="61" t="s">
        <v>94</v>
      </c>
      <c r="D5" s="39">
        <v>30</v>
      </c>
      <c r="E5" s="46">
        <v>249</v>
      </c>
      <c r="F5" s="46">
        <f t="shared" ref="F5:F12" si="0">D5*E5</f>
        <v>7470</v>
      </c>
    </row>
    <row r="6" spans="1:11" x14ac:dyDescent="0.3">
      <c r="B6" s="39" t="s">
        <v>137</v>
      </c>
      <c r="C6" s="61" t="s">
        <v>94</v>
      </c>
      <c r="D6" s="39">
        <v>450</v>
      </c>
      <c r="E6" s="46">
        <v>4400</v>
      </c>
      <c r="F6" s="46">
        <f t="shared" si="0"/>
        <v>1980000</v>
      </c>
    </row>
    <row r="7" spans="1:11" x14ac:dyDescent="0.3">
      <c r="B7" s="39" t="s">
        <v>135</v>
      </c>
      <c r="C7" s="61" t="s">
        <v>90</v>
      </c>
      <c r="D7" s="39">
        <v>18</v>
      </c>
      <c r="E7" s="46">
        <v>300</v>
      </c>
      <c r="F7" s="46">
        <f t="shared" si="0"/>
        <v>5400</v>
      </c>
    </row>
    <row r="8" spans="1:11" x14ac:dyDescent="0.3">
      <c r="B8" s="39" t="s">
        <v>136</v>
      </c>
      <c r="C8" s="61" t="s">
        <v>92</v>
      </c>
      <c r="D8" s="39">
        <v>6</v>
      </c>
      <c r="E8" s="46">
        <v>260</v>
      </c>
      <c r="F8" s="46">
        <f t="shared" si="0"/>
        <v>1560</v>
      </c>
    </row>
    <row r="9" spans="1:11" x14ac:dyDescent="0.3">
      <c r="B9" s="39" t="s">
        <v>137</v>
      </c>
      <c r="C9" s="61" t="s">
        <v>94</v>
      </c>
      <c r="D9" s="39">
        <v>42</v>
      </c>
      <c r="E9" s="46">
        <v>5400</v>
      </c>
      <c r="F9" s="46">
        <f t="shared" si="0"/>
        <v>226800</v>
      </c>
    </row>
    <row r="10" spans="1:11" x14ac:dyDescent="0.3">
      <c r="B10" s="39" t="s">
        <v>135</v>
      </c>
      <c r="C10" s="61" t="s">
        <v>117</v>
      </c>
      <c r="D10" s="39">
        <v>95</v>
      </c>
      <c r="E10" s="46">
        <v>5600</v>
      </c>
      <c r="F10" s="46">
        <f t="shared" si="0"/>
        <v>532000</v>
      </c>
    </row>
    <row r="11" spans="1:11" x14ac:dyDescent="0.3">
      <c r="B11" s="39" t="s">
        <v>136</v>
      </c>
      <c r="C11" s="61" t="s">
        <v>94</v>
      </c>
      <c r="D11" s="39">
        <v>55</v>
      </c>
      <c r="E11" s="46">
        <v>200</v>
      </c>
      <c r="F11" s="46">
        <f t="shared" si="0"/>
        <v>11000</v>
      </c>
    </row>
    <row r="12" spans="1:11" x14ac:dyDescent="0.3">
      <c r="B12" s="39" t="s">
        <v>138</v>
      </c>
      <c r="C12" s="61" t="s">
        <v>94</v>
      </c>
      <c r="D12" s="39">
        <v>15</v>
      </c>
      <c r="E12" s="46">
        <v>3700</v>
      </c>
      <c r="F12" s="46">
        <f t="shared" si="0"/>
        <v>55500</v>
      </c>
    </row>
    <row r="14" spans="1:11" x14ac:dyDescent="0.3">
      <c r="D14" s="149" t="s">
        <v>139</v>
      </c>
      <c r="E14" s="150"/>
      <c r="F14" s="9">
        <f>SUMPRODUCT(D4:D12,E4:E12)</f>
        <v>2823330</v>
      </c>
    </row>
    <row r="17" spans="2:6" x14ac:dyDescent="0.3">
      <c r="B17" s="42" t="s">
        <v>83</v>
      </c>
      <c r="C17" s="3" t="s">
        <v>84</v>
      </c>
      <c r="D17" s="3" t="s">
        <v>127</v>
      </c>
      <c r="E17" s="3" t="s">
        <v>128</v>
      </c>
      <c r="F17" s="3" t="s">
        <v>96</v>
      </c>
    </row>
    <row r="18" spans="2:6" x14ac:dyDescent="0.3">
      <c r="B18" s="39" t="s">
        <v>135</v>
      </c>
      <c r="C18" s="61" t="s">
        <v>90</v>
      </c>
      <c r="D18" s="39">
        <v>12</v>
      </c>
      <c r="E18" s="46">
        <v>300</v>
      </c>
      <c r="F18" s="46">
        <f>E18*D18</f>
        <v>3600</v>
      </c>
    </row>
    <row r="19" spans="2:6" x14ac:dyDescent="0.3">
      <c r="B19" s="39" t="s">
        <v>136</v>
      </c>
      <c r="C19" s="61" t="s">
        <v>94</v>
      </c>
      <c r="D19" s="39">
        <v>30</v>
      </c>
      <c r="E19" s="46">
        <v>249</v>
      </c>
      <c r="F19" s="46">
        <f t="shared" ref="F19:F26" si="1">E19*D19</f>
        <v>7470</v>
      </c>
    </row>
    <row r="20" spans="2:6" x14ac:dyDescent="0.3">
      <c r="B20" s="39" t="s">
        <v>137</v>
      </c>
      <c r="C20" s="61" t="s">
        <v>94</v>
      </c>
      <c r="D20" s="39">
        <v>450</v>
      </c>
      <c r="E20" s="46">
        <v>4400</v>
      </c>
      <c r="F20" s="46">
        <f t="shared" si="1"/>
        <v>1980000</v>
      </c>
    </row>
    <row r="21" spans="2:6" x14ac:dyDescent="0.3">
      <c r="B21" s="39" t="s">
        <v>135</v>
      </c>
      <c r="C21" s="61" t="s">
        <v>90</v>
      </c>
      <c r="D21" s="39">
        <v>18</v>
      </c>
      <c r="E21" s="46">
        <v>300</v>
      </c>
      <c r="F21" s="46">
        <f t="shared" si="1"/>
        <v>5400</v>
      </c>
    </row>
    <row r="22" spans="2:6" x14ac:dyDescent="0.3">
      <c r="B22" s="39" t="s">
        <v>136</v>
      </c>
      <c r="C22" s="61" t="s">
        <v>92</v>
      </c>
      <c r="D22" s="39">
        <v>6</v>
      </c>
      <c r="E22" s="46">
        <v>260</v>
      </c>
      <c r="F22" s="46">
        <f t="shared" si="1"/>
        <v>1560</v>
      </c>
    </row>
    <row r="23" spans="2:6" x14ac:dyDescent="0.3">
      <c r="B23" s="39" t="s">
        <v>137</v>
      </c>
      <c r="C23" s="61" t="s">
        <v>94</v>
      </c>
      <c r="D23" s="39">
        <v>42</v>
      </c>
      <c r="E23" s="46">
        <v>5400</v>
      </c>
      <c r="F23" s="46">
        <f t="shared" si="1"/>
        <v>226800</v>
      </c>
    </row>
    <row r="24" spans="2:6" x14ac:dyDescent="0.3">
      <c r="B24" s="39" t="s">
        <v>135</v>
      </c>
      <c r="C24" s="61" t="s">
        <v>117</v>
      </c>
      <c r="D24" s="39">
        <v>95</v>
      </c>
      <c r="E24" s="46">
        <v>5600</v>
      </c>
      <c r="F24" s="46">
        <f t="shared" si="1"/>
        <v>532000</v>
      </c>
    </row>
    <row r="25" spans="2:6" x14ac:dyDescent="0.3">
      <c r="B25" s="39" t="s">
        <v>136</v>
      </c>
      <c r="C25" s="61" t="s">
        <v>94</v>
      </c>
      <c r="D25" s="39">
        <v>55</v>
      </c>
      <c r="E25" s="46">
        <v>200</v>
      </c>
      <c r="F25" s="46">
        <f t="shared" si="1"/>
        <v>11000</v>
      </c>
    </row>
    <row r="26" spans="2:6" x14ac:dyDescent="0.3">
      <c r="B26" s="39" t="s">
        <v>138</v>
      </c>
      <c r="C26" s="61" t="s">
        <v>94</v>
      </c>
      <c r="D26" s="39">
        <v>15</v>
      </c>
      <c r="E26" s="46">
        <v>3700</v>
      </c>
      <c r="F26" s="46">
        <f t="shared" si="1"/>
        <v>55500</v>
      </c>
    </row>
    <row r="28" spans="2:6" x14ac:dyDescent="0.3">
      <c r="D28" t="s">
        <v>980</v>
      </c>
      <c r="F28">
        <f>SUMPRODUCT(E18:E26,F18:F26)</f>
        <v>13128435630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24"/>
  <sheetViews>
    <sheetView zoomScale="130" zoomScaleNormal="130" workbookViewId="0">
      <pane ySplit="1" topLeftCell="A11" activePane="bottomLeft" state="frozen"/>
      <selection pane="bottomLeft" activeCell="E16" sqref="E16"/>
    </sheetView>
  </sheetViews>
  <sheetFormatPr defaultRowHeight="18.75" x14ac:dyDescent="0.3"/>
  <cols>
    <col min="2" max="2" width="14" style="13" customWidth="1"/>
    <col min="3" max="3" width="13.296875" customWidth="1"/>
    <col min="5" max="5" width="12.796875" customWidth="1"/>
  </cols>
  <sheetData>
    <row r="1" spans="1:8" s="2" customFormat="1" ht="32.65" customHeight="1" thickBot="1" x14ac:dyDescent="0.35">
      <c r="A1" s="36">
        <v>7</v>
      </c>
      <c r="B1" s="138" t="s">
        <v>140</v>
      </c>
    </row>
    <row r="2" spans="1:8" x14ac:dyDescent="0.3">
      <c r="A2" s="37" t="s">
        <v>2</v>
      </c>
    </row>
    <row r="3" spans="1:8" x14ac:dyDescent="0.3">
      <c r="B3" s="48" t="s">
        <v>141</v>
      </c>
      <c r="C3" s="42" t="s">
        <v>83</v>
      </c>
      <c r="D3" s="42" t="s">
        <v>96</v>
      </c>
      <c r="E3" s="42" t="s">
        <v>13</v>
      </c>
      <c r="G3" s="38"/>
      <c r="H3" s="38"/>
    </row>
    <row r="4" spans="1:8" x14ac:dyDescent="0.3">
      <c r="B4" s="62">
        <v>45292</v>
      </c>
      <c r="C4" s="39" t="s">
        <v>142</v>
      </c>
      <c r="D4" s="61">
        <v>180</v>
      </c>
      <c r="E4" s="47">
        <f>SUM($D$4:D4)</f>
        <v>180</v>
      </c>
    </row>
    <row r="5" spans="1:8" x14ac:dyDescent="0.3">
      <c r="B5" s="62">
        <v>45293</v>
      </c>
      <c r="C5" s="39" t="s">
        <v>135</v>
      </c>
      <c r="D5" s="61">
        <v>220</v>
      </c>
      <c r="E5" s="39">
        <f>SUM($D$4:D5)</f>
        <v>400</v>
      </c>
    </row>
    <row r="6" spans="1:8" x14ac:dyDescent="0.3">
      <c r="B6" s="62">
        <v>45294</v>
      </c>
      <c r="C6" s="39" t="s">
        <v>137</v>
      </c>
      <c r="D6" s="61">
        <v>170</v>
      </c>
      <c r="E6" s="39">
        <f>SUM($D$4:D6)</f>
        <v>570</v>
      </c>
    </row>
    <row r="7" spans="1:8" x14ac:dyDescent="0.3">
      <c r="B7" s="62">
        <v>45295</v>
      </c>
      <c r="C7" s="39" t="s">
        <v>143</v>
      </c>
      <c r="D7" s="61">
        <v>250</v>
      </c>
      <c r="E7" s="39">
        <f>SUM($D$4:D7)</f>
        <v>820</v>
      </c>
    </row>
    <row r="8" spans="1:8" x14ac:dyDescent="0.3">
      <c r="B8" s="62">
        <v>45296</v>
      </c>
      <c r="C8" s="39" t="s">
        <v>135</v>
      </c>
      <c r="D8" s="61">
        <v>130</v>
      </c>
      <c r="E8" s="39">
        <f>SUM($D$4:D8)</f>
        <v>950</v>
      </c>
    </row>
    <row r="9" spans="1:8" x14ac:dyDescent="0.3">
      <c r="B9" s="62">
        <v>45297</v>
      </c>
      <c r="C9" s="39" t="s">
        <v>137</v>
      </c>
      <c r="D9" s="61">
        <v>370</v>
      </c>
      <c r="E9" s="39">
        <f>SUM($D$4:D9)</f>
        <v>1320</v>
      </c>
    </row>
    <row r="10" spans="1:8" x14ac:dyDescent="0.3">
      <c r="B10" s="62">
        <v>45298</v>
      </c>
      <c r="C10" s="39" t="s">
        <v>143</v>
      </c>
      <c r="D10" s="61">
        <v>280</v>
      </c>
      <c r="E10" s="39">
        <f>SUM($D$4:D10)</f>
        <v>1600</v>
      </c>
    </row>
    <row r="11" spans="1:8" x14ac:dyDescent="0.3">
      <c r="B11" s="62">
        <v>45299</v>
      </c>
      <c r="C11" s="39" t="s">
        <v>135</v>
      </c>
      <c r="D11" s="61">
        <v>360</v>
      </c>
      <c r="E11" s="39">
        <f>SUM($D$4:D11)</f>
        <v>1960</v>
      </c>
    </row>
    <row r="12" spans="1:8" x14ac:dyDescent="0.3">
      <c r="B12" s="62">
        <v>45300</v>
      </c>
      <c r="C12" s="39" t="s">
        <v>137</v>
      </c>
      <c r="D12" s="61">
        <v>420</v>
      </c>
      <c r="E12" s="39">
        <f>SUM($D$4:D12)</f>
        <v>2380</v>
      </c>
    </row>
    <row r="15" spans="1:8" x14ac:dyDescent="0.3">
      <c r="B15" s="48" t="s">
        <v>141</v>
      </c>
      <c r="C15" s="42" t="s">
        <v>83</v>
      </c>
      <c r="D15" s="42" t="s">
        <v>96</v>
      </c>
      <c r="E15" s="42" t="s">
        <v>13</v>
      </c>
    </row>
    <row r="16" spans="1:8" x14ac:dyDescent="0.3">
      <c r="B16" s="62">
        <v>45292</v>
      </c>
      <c r="C16" s="39" t="s">
        <v>142</v>
      </c>
      <c r="D16" s="61">
        <v>180</v>
      </c>
      <c r="E16" s="141">
        <f>SUM($D$16:D16)</f>
        <v>180</v>
      </c>
    </row>
    <row r="17" spans="2:5" x14ac:dyDescent="0.3">
      <c r="B17" s="62">
        <v>45293</v>
      </c>
      <c r="C17" s="39" t="s">
        <v>135</v>
      </c>
      <c r="D17" s="61">
        <v>220</v>
      </c>
      <c r="E17" s="141">
        <f>SUM($D$16:D17)</f>
        <v>400</v>
      </c>
    </row>
    <row r="18" spans="2:5" x14ac:dyDescent="0.3">
      <c r="B18" s="62">
        <v>45294</v>
      </c>
      <c r="C18" s="39" t="s">
        <v>137</v>
      </c>
      <c r="D18" s="61">
        <v>170</v>
      </c>
      <c r="E18" s="141">
        <f>SUM($D$16:D18)</f>
        <v>570</v>
      </c>
    </row>
    <row r="19" spans="2:5" x14ac:dyDescent="0.3">
      <c r="B19" s="62">
        <v>45295</v>
      </c>
      <c r="C19" s="39" t="s">
        <v>143</v>
      </c>
      <c r="D19" s="61">
        <v>250</v>
      </c>
      <c r="E19" s="141">
        <f>SUM($D$16:D19)</f>
        <v>820</v>
      </c>
    </row>
    <row r="20" spans="2:5" x14ac:dyDescent="0.3">
      <c r="B20" s="62">
        <v>45296</v>
      </c>
      <c r="C20" s="39" t="s">
        <v>135</v>
      </c>
      <c r="D20" s="61">
        <v>130</v>
      </c>
      <c r="E20" s="141">
        <f>SUM($D$16:D20)</f>
        <v>950</v>
      </c>
    </row>
    <row r="21" spans="2:5" x14ac:dyDescent="0.3">
      <c r="B21" s="62">
        <v>45297</v>
      </c>
      <c r="C21" s="39" t="s">
        <v>137</v>
      </c>
      <c r="D21" s="61">
        <v>370</v>
      </c>
      <c r="E21" s="141">
        <f>SUM($D$16:D21)</f>
        <v>1320</v>
      </c>
    </row>
    <row r="22" spans="2:5" x14ac:dyDescent="0.3">
      <c r="B22" s="62">
        <v>45298</v>
      </c>
      <c r="C22" s="39" t="s">
        <v>143</v>
      </c>
      <c r="D22" s="61">
        <v>280</v>
      </c>
      <c r="E22" s="141">
        <f>SUM($D$16:D22)</f>
        <v>1600</v>
      </c>
    </row>
    <row r="23" spans="2:5" x14ac:dyDescent="0.3">
      <c r="B23" s="62">
        <v>45299</v>
      </c>
      <c r="C23" s="39" t="s">
        <v>135</v>
      </c>
      <c r="D23" s="61">
        <v>360</v>
      </c>
      <c r="E23" s="141">
        <f>SUM($D$16:D23)</f>
        <v>1960</v>
      </c>
    </row>
    <row r="24" spans="2:5" x14ac:dyDescent="0.3">
      <c r="B24" s="62">
        <v>45300</v>
      </c>
      <c r="C24" s="39" t="s">
        <v>137</v>
      </c>
      <c r="D24" s="61">
        <v>420</v>
      </c>
      <c r="E24" s="141">
        <f>SUM($D$16:D24)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K24"/>
  <sheetViews>
    <sheetView topLeftCell="B1" zoomScale="130" zoomScaleNormal="130" workbookViewId="0">
      <pane ySplit="1" topLeftCell="A12" activePane="bottomLeft" state="frozen"/>
      <selection pane="bottomLeft" activeCell="K16" sqref="K16"/>
    </sheetView>
  </sheetViews>
  <sheetFormatPr defaultRowHeight="18.75" x14ac:dyDescent="0.3"/>
  <cols>
    <col min="2" max="2" width="14" style="13" customWidth="1"/>
    <col min="3" max="3" width="11.09765625" bestFit="1" customWidth="1"/>
    <col min="4" max="4" width="8" bestFit="1" customWidth="1"/>
    <col min="5" max="5" width="12.296875" customWidth="1"/>
    <col min="6" max="6" width="15.296875" customWidth="1"/>
    <col min="7" max="7" width="10.296875" bestFit="1" customWidth="1"/>
    <col min="10" max="10" width="14.19921875" customWidth="1"/>
  </cols>
  <sheetData>
    <row r="1" spans="1:11" s="2" customFormat="1" ht="32.65" customHeight="1" thickBot="1" x14ac:dyDescent="0.35">
      <c r="A1" s="36">
        <v>8</v>
      </c>
      <c r="B1" s="138" t="s">
        <v>144</v>
      </c>
    </row>
    <row r="2" spans="1:11" x14ac:dyDescent="0.3">
      <c r="A2" s="37" t="s">
        <v>2</v>
      </c>
    </row>
    <row r="3" spans="1:11" x14ac:dyDescent="0.3">
      <c r="B3" s="12" t="s">
        <v>141</v>
      </c>
      <c r="C3" s="42" t="s">
        <v>145</v>
      </c>
      <c r="D3" s="3" t="s">
        <v>96</v>
      </c>
      <c r="E3" s="3" t="s">
        <v>13</v>
      </c>
    </row>
    <row r="4" spans="1:11" x14ac:dyDescent="0.3">
      <c r="B4" s="63">
        <v>45292</v>
      </c>
      <c r="C4" s="39" t="s">
        <v>142</v>
      </c>
      <c r="D4" s="61">
        <v>180</v>
      </c>
      <c r="E4" s="14">
        <f>SUM($D$4:D4)</f>
        <v>180</v>
      </c>
      <c r="F4" t="str">
        <f ca="1">_xlfn.FORMULATEXT(E4)</f>
        <v>=SUM($D$4:D4)</v>
      </c>
    </row>
    <row r="5" spans="1:11" x14ac:dyDescent="0.3">
      <c r="B5" s="63">
        <v>45293</v>
      </c>
      <c r="C5" s="39" t="s">
        <v>135</v>
      </c>
      <c r="D5" s="61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11" x14ac:dyDescent="0.3">
      <c r="B6" s="63">
        <v>45294</v>
      </c>
      <c r="C6" s="39" t="s">
        <v>137</v>
      </c>
      <c r="D6" s="61">
        <v>170</v>
      </c>
      <c r="E6" s="14">
        <f>SUM($D$4:D6)</f>
        <v>570</v>
      </c>
      <c r="F6" t="str">
        <f t="shared" ca="1" si="0"/>
        <v>=SUM($D$4:D6)</v>
      </c>
    </row>
    <row r="7" spans="1:11" x14ac:dyDescent="0.3">
      <c r="B7" s="63">
        <v>45295</v>
      </c>
      <c r="C7" s="39" t="s">
        <v>143</v>
      </c>
      <c r="D7" s="61">
        <v>250</v>
      </c>
      <c r="E7" s="14">
        <f>SUM($D$4:D7)</f>
        <v>820</v>
      </c>
      <c r="F7" t="str">
        <f t="shared" ca="1" si="0"/>
        <v>=SUM($D$4:D7)</v>
      </c>
    </row>
    <row r="8" spans="1:11" x14ac:dyDescent="0.3">
      <c r="B8" s="63">
        <v>45296</v>
      </c>
      <c r="C8" s="39" t="s">
        <v>135</v>
      </c>
      <c r="D8" s="61">
        <v>130</v>
      </c>
      <c r="E8" s="14">
        <f>SUM($D$4:D8)</f>
        <v>950</v>
      </c>
      <c r="F8" t="str">
        <f t="shared" ca="1" si="0"/>
        <v>=SUM($D$4:D8)</v>
      </c>
    </row>
    <row r="9" spans="1:11" x14ac:dyDescent="0.3">
      <c r="B9" s="63">
        <v>45297</v>
      </c>
      <c r="C9" s="39" t="s">
        <v>137</v>
      </c>
      <c r="D9" s="61">
        <v>370</v>
      </c>
      <c r="E9" s="14">
        <f>SUM($D$4:D9)</f>
        <v>1320</v>
      </c>
      <c r="F9" t="str">
        <f t="shared" ca="1" si="0"/>
        <v>=SUM($D$4:D9)</v>
      </c>
    </row>
    <row r="10" spans="1:11" x14ac:dyDescent="0.3">
      <c r="B10" s="63">
        <v>45298</v>
      </c>
      <c r="C10" s="39" t="s">
        <v>143</v>
      </c>
      <c r="D10" s="61">
        <v>280</v>
      </c>
      <c r="E10" s="14">
        <f>SUM($D$4:D10)</f>
        <v>1600</v>
      </c>
      <c r="F10" t="str">
        <f t="shared" ca="1" si="0"/>
        <v>=SUM($D$4:D10)</v>
      </c>
    </row>
    <row r="11" spans="1:11" x14ac:dyDescent="0.3">
      <c r="B11" s="63">
        <v>45299</v>
      </c>
      <c r="C11" s="39" t="s">
        <v>135</v>
      </c>
      <c r="D11" s="61">
        <v>360</v>
      </c>
      <c r="E11" s="14">
        <f>SUM($D$4:D11)</f>
        <v>1960</v>
      </c>
      <c r="F11" t="str">
        <f t="shared" ca="1" si="0"/>
        <v>=SUM($D$4:D11)</v>
      </c>
    </row>
    <row r="12" spans="1:11" x14ac:dyDescent="0.3">
      <c r="B12" s="63">
        <v>45300</v>
      </c>
      <c r="C12" s="39" t="s">
        <v>137</v>
      </c>
      <c r="D12" s="61">
        <v>420</v>
      </c>
      <c r="E12" s="14">
        <f>SUM($D$4:D12)</f>
        <v>2380</v>
      </c>
      <c r="F12" t="str">
        <f t="shared" ca="1" si="0"/>
        <v>=SUM($D$4:D12)</v>
      </c>
    </row>
    <row r="15" spans="1:11" x14ac:dyDescent="0.3">
      <c r="B15" s="12" t="s">
        <v>981</v>
      </c>
      <c r="C15" s="42"/>
      <c r="D15" s="3"/>
      <c r="E15" s="3"/>
      <c r="G15" s="12" t="s">
        <v>141</v>
      </c>
      <c r="H15" s="42" t="s">
        <v>145</v>
      </c>
      <c r="I15" s="3" t="s">
        <v>96</v>
      </c>
      <c r="J15" s="3" t="s">
        <v>13</v>
      </c>
    </row>
    <row r="16" spans="1:11" x14ac:dyDescent="0.3">
      <c r="B16" s="63"/>
      <c r="C16" s="39"/>
      <c r="D16" s="61"/>
      <c r="E16" s="14"/>
      <c r="G16" s="63">
        <v>45292</v>
      </c>
      <c r="H16" s="39" t="s">
        <v>142</v>
      </c>
      <c r="I16" s="61">
        <v>180</v>
      </c>
      <c r="J16" s="14">
        <f ca="1">SUM($D$4:I16)</f>
        <v>58032</v>
      </c>
      <c r="K16" t="str">
        <f ca="1">_xlfn.FORMULATEXT(J16)</f>
        <v>=SUM($D$4:I16)</v>
      </c>
    </row>
    <row r="17" spans="2:11" x14ac:dyDescent="0.3">
      <c r="B17" s="63"/>
      <c r="C17" s="39"/>
      <c r="D17" s="61"/>
      <c r="E17" s="14"/>
      <c r="G17" s="63">
        <v>45293</v>
      </c>
      <c r="H17" s="39" t="s">
        <v>135</v>
      </c>
      <c r="I17" s="61">
        <v>220</v>
      </c>
      <c r="J17" s="14">
        <f ca="1">SUM($D$4:I17)</f>
        <v>103545</v>
      </c>
      <c r="K17" t="str">
        <f t="shared" ref="K17:K24" ca="1" si="1">_xlfn.FORMULATEXT(J17)</f>
        <v>=SUM($D$4:I17)</v>
      </c>
    </row>
    <row r="18" spans="2:11" x14ac:dyDescent="0.3">
      <c r="B18" s="63"/>
      <c r="C18" s="39"/>
      <c r="D18" s="61"/>
      <c r="E18" s="14"/>
      <c r="G18" s="63">
        <v>45294</v>
      </c>
      <c r="H18" s="39" t="s">
        <v>137</v>
      </c>
      <c r="I18" s="61">
        <v>170</v>
      </c>
      <c r="J18" s="14">
        <f ca="1">SUM($D$4:I18)</f>
        <v>149009</v>
      </c>
      <c r="K18" t="str">
        <f t="shared" ca="1" si="1"/>
        <v>=SUM($D$4:I18)</v>
      </c>
    </row>
    <row r="19" spans="2:11" x14ac:dyDescent="0.3">
      <c r="B19" s="63"/>
      <c r="C19" s="39"/>
      <c r="D19" s="61"/>
      <c r="E19" s="14"/>
      <c r="G19" s="63">
        <v>45295</v>
      </c>
      <c r="H19" s="39" t="s">
        <v>143</v>
      </c>
      <c r="I19" s="61">
        <v>250</v>
      </c>
      <c r="J19" s="14">
        <f ca="1">SUM($D$4:I19)</f>
        <v>194554</v>
      </c>
      <c r="K19" t="str">
        <f t="shared" ca="1" si="1"/>
        <v>=SUM($D$4:I19)</v>
      </c>
    </row>
    <row r="20" spans="2:11" x14ac:dyDescent="0.3">
      <c r="B20" s="63"/>
      <c r="C20" s="39"/>
      <c r="D20" s="61"/>
      <c r="E20" s="14"/>
      <c r="G20" s="63">
        <v>45296</v>
      </c>
      <c r="H20" s="39" t="s">
        <v>135</v>
      </c>
      <c r="I20" s="61">
        <v>130</v>
      </c>
      <c r="J20" s="14">
        <f ca="1">SUM($D$4:I20)</f>
        <v>239980</v>
      </c>
      <c r="K20" t="str">
        <f t="shared" ca="1" si="1"/>
        <v>=SUM($D$4:I20)</v>
      </c>
    </row>
    <row r="21" spans="2:11" x14ac:dyDescent="0.3">
      <c r="B21" s="63"/>
      <c r="C21" s="39"/>
      <c r="D21" s="61"/>
      <c r="E21" s="14"/>
      <c r="G21" s="63">
        <v>45297</v>
      </c>
      <c r="H21" s="39" t="s">
        <v>137</v>
      </c>
      <c r="I21" s="61">
        <v>370</v>
      </c>
      <c r="J21" s="14">
        <f ca="1">SUM($D$4:I21)</f>
        <v>285647</v>
      </c>
      <c r="K21" t="str">
        <f t="shared" ca="1" si="1"/>
        <v>=SUM($D$4:I21)</v>
      </c>
    </row>
    <row r="22" spans="2:11" x14ac:dyDescent="0.3">
      <c r="B22" s="63"/>
      <c r="C22" s="39"/>
      <c r="D22" s="61"/>
      <c r="E22" s="14"/>
      <c r="G22" s="63">
        <v>45298</v>
      </c>
      <c r="H22" s="39" t="s">
        <v>143</v>
      </c>
      <c r="I22" s="61">
        <v>280</v>
      </c>
      <c r="J22" s="14">
        <f ca="1">SUM($D$4:I22)</f>
        <v>331225</v>
      </c>
      <c r="K22" t="str">
        <f t="shared" ca="1" si="1"/>
        <v>=SUM($D$4:I22)</v>
      </c>
    </row>
    <row r="23" spans="2:11" x14ac:dyDescent="0.3">
      <c r="B23" s="63"/>
      <c r="C23" s="39"/>
      <c r="D23" s="61"/>
      <c r="E23" s="14"/>
      <c r="G23" s="63">
        <v>45299</v>
      </c>
      <c r="H23" s="39" t="s">
        <v>135</v>
      </c>
      <c r="I23" s="61">
        <v>360</v>
      </c>
      <c r="J23" s="14">
        <f ca="1">SUM($D$4:I23)</f>
        <v>376884</v>
      </c>
      <c r="K23" t="str">
        <f t="shared" ca="1" si="1"/>
        <v>=SUM($D$4:I23)</v>
      </c>
    </row>
    <row r="24" spans="2:11" x14ac:dyDescent="0.3">
      <c r="B24" s="63"/>
      <c r="C24" s="39"/>
      <c r="D24" s="61"/>
      <c r="E24" s="14"/>
      <c r="G24" s="63">
        <v>45300</v>
      </c>
      <c r="H24" s="39" t="s">
        <v>137</v>
      </c>
      <c r="I24" s="61">
        <v>420</v>
      </c>
      <c r="J24" s="14">
        <f ca="1">SUM($D$4:I24)</f>
        <v>422604</v>
      </c>
      <c r="K24" t="str">
        <f t="shared" ca="1" si="1"/>
        <v>=SUM($D$4:I24)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29"/>
  <sheetViews>
    <sheetView zoomScale="130" zoomScaleNormal="130" workbookViewId="0">
      <pane ySplit="1" topLeftCell="A5" activePane="bottomLeft" state="frozen"/>
      <selection pane="bottomLeft" activeCell="F18" sqref="F18"/>
    </sheetView>
  </sheetViews>
  <sheetFormatPr defaultRowHeight="18.75" x14ac:dyDescent="0.3"/>
  <cols>
    <col min="2" max="2" width="14" style="13" customWidth="1"/>
    <col min="3" max="3" width="14.3984375" customWidth="1"/>
  </cols>
  <sheetData>
    <row r="1" spans="1:6" s="2" customFormat="1" ht="32.65" customHeight="1" thickBot="1" x14ac:dyDescent="0.35">
      <c r="A1" s="36">
        <v>9</v>
      </c>
      <c r="B1" s="138" t="s">
        <v>146</v>
      </c>
    </row>
    <row r="2" spans="1:6" x14ac:dyDescent="0.3">
      <c r="A2" s="37" t="s">
        <v>2</v>
      </c>
    </row>
    <row r="3" spans="1:6" x14ac:dyDescent="0.3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3">
      <c r="B4" s="15">
        <v>45292</v>
      </c>
      <c r="C4" s="39" t="s">
        <v>93</v>
      </c>
      <c r="D4" s="39">
        <v>180</v>
      </c>
      <c r="F4">
        <f>SUM('9'!$D$4:$D$13)</f>
        <v>36723</v>
      </c>
    </row>
    <row r="5" spans="1:6" x14ac:dyDescent="0.3">
      <c r="B5" s="15">
        <v>45293</v>
      </c>
      <c r="C5" s="39" t="s">
        <v>147</v>
      </c>
      <c r="D5" s="39">
        <v>220</v>
      </c>
    </row>
    <row r="6" spans="1:6" x14ac:dyDescent="0.3">
      <c r="B6" s="15">
        <v>45294</v>
      </c>
      <c r="C6" s="39" t="s">
        <v>148</v>
      </c>
      <c r="D6" s="39">
        <v>170</v>
      </c>
    </row>
    <row r="7" spans="1:6" x14ac:dyDescent="0.3">
      <c r="B7" s="15">
        <v>45295</v>
      </c>
      <c r="C7" s="39" t="s">
        <v>149</v>
      </c>
      <c r="D7" s="39">
        <v>250</v>
      </c>
    </row>
    <row r="8" spans="1:6" x14ac:dyDescent="0.3">
      <c r="B8" s="15">
        <v>45296</v>
      </c>
      <c r="C8" s="39" t="s">
        <v>147</v>
      </c>
      <c r="D8" s="39">
        <v>130</v>
      </c>
    </row>
    <row r="9" spans="1:6" x14ac:dyDescent="0.3">
      <c r="B9" s="15">
        <v>45297</v>
      </c>
      <c r="C9" s="39" t="s">
        <v>148</v>
      </c>
      <c r="D9" s="39">
        <v>370</v>
      </c>
    </row>
    <row r="10" spans="1:6" x14ac:dyDescent="0.3">
      <c r="B10" s="15">
        <v>45298</v>
      </c>
      <c r="C10" s="39" t="s">
        <v>149</v>
      </c>
      <c r="D10" s="39">
        <v>280</v>
      </c>
    </row>
    <row r="11" spans="1:6" x14ac:dyDescent="0.3">
      <c r="B11" s="15">
        <v>45299</v>
      </c>
      <c r="C11" s="39" t="s">
        <v>147</v>
      </c>
      <c r="D11" s="39">
        <v>360</v>
      </c>
    </row>
    <row r="12" spans="1:6" x14ac:dyDescent="0.3">
      <c r="B12" s="19">
        <v>45300</v>
      </c>
      <c r="C12" s="39" t="s">
        <v>148</v>
      </c>
      <c r="D12" s="39">
        <v>420</v>
      </c>
    </row>
    <row r="13" spans="1:6" x14ac:dyDescent="0.3">
      <c r="B13" s="15">
        <v>45300</v>
      </c>
      <c r="C13" s="4" t="s">
        <v>148</v>
      </c>
      <c r="D13" s="21">
        <v>34343</v>
      </c>
    </row>
    <row r="17" spans="2:6" x14ac:dyDescent="0.3">
      <c r="B17" s="16" t="s">
        <v>141</v>
      </c>
      <c r="C17" s="17" t="s">
        <v>83</v>
      </c>
      <c r="D17" s="18" t="s">
        <v>96</v>
      </c>
      <c r="F17" s="127" t="s">
        <v>982</v>
      </c>
    </row>
    <row r="18" spans="2:6" x14ac:dyDescent="0.3">
      <c r="B18" s="15">
        <v>45292</v>
      </c>
      <c r="C18" s="39" t="s">
        <v>93</v>
      </c>
      <c r="D18" s="39">
        <v>180</v>
      </c>
      <c r="F18">
        <f>SUM(Table32[Amount])</f>
        <v>36723</v>
      </c>
    </row>
    <row r="19" spans="2:6" x14ac:dyDescent="0.3">
      <c r="B19" s="15">
        <v>45293</v>
      </c>
      <c r="C19" s="39" t="s">
        <v>147</v>
      </c>
      <c r="D19" s="39">
        <v>220</v>
      </c>
    </row>
    <row r="20" spans="2:6" x14ac:dyDescent="0.3">
      <c r="B20" s="15">
        <v>45294</v>
      </c>
      <c r="C20" s="39" t="s">
        <v>148</v>
      </c>
      <c r="D20" s="39">
        <v>170</v>
      </c>
    </row>
    <row r="21" spans="2:6" x14ac:dyDescent="0.3">
      <c r="B21" s="15">
        <v>45295</v>
      </c>
      <c r="C21" s="39" t="s">
        <v>149</v>
      </c>
      <c r="D21" s="39">
        <v>250</v>
      </c>
    </row>
    <row r="22" spans="2:6" x14ac:dyDescent="0.3">
      <c r="B22" s="15">
        <v>45296</v>
      </c>
      <c r="C22" s="39" t="s">
        <v>147</v>
      </c>
      <c r="D22" s="39">
        <v>130</v>
      </c>
    </row>
    <row r="23" spans="2:6" x14ac:dyDescent="0.3">
      <c r="B23" s="15">
        <v>45297</v>
      </c>
      <c r="C23" s="39" t="s">
        <v>148</v>
      </c>
      <c r="D23" s="39">
        <v>370</v>
      </c>
    </row>
    <row r="24" spans="2:6" x14ac:dyDescent="0.3">
      <c r="B24" s="15">
        <v>45298</v>
      </c>
      <c r="C24" s="39" t="s">
        <v>149</v>
      </c>
      <c r="D24" s="39">
        <v>280</v>
      </c>
    </row>
    <row r="25" spans="2:6" x14ac:dyDescent="0.3">
      <c r="B25" s="15">
        <v>45299</v>
      </c>
      <c r="C25" s="39" t="s">
        <v>147</v>
      </c>
      <c r="D25" s="39">
        <v>360</v>
      </c>
    </row>
    <row r="26" spans="2:6" x14ac:dyDescent="0.3">
      <c r="B26" s="19">
        <v>45300</v>
      </c>
      <c r="C26" s="39" t="s">
        <v>148</v>
      </c>
      <c r="D26" s="39">
        <v>420</v>
      </c>
    </row>
    <row r="27" spans="2:6" x14ac:dyDescent="0.3">
      <c r="B27" s="15">
        <v>45300</v>
      </c>
      <c r="C27" s="4" t="s">
        <v>148</v>
      </c>
      <c r="D27" s="21">
        <v>34343</v>
      </c>
    </row>
    <row r="29" spans="2:6" x14ac:dyDescent="0.3">
      <c r="B29" s="13" t="s">
        <v>982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5"/>
  <sheetViews>
    <sheetView zoomScale="130" zoomScaleNormal="130" workbookViewId="0">
      <pane ySplit="1" topLeftCell="A14" activePane="bottomLeft" state="frozen"/>
      <selection pane="bottomLeft" activeCell="C25" sqref="C25"/>
    </sheetView>
  </sheetViews>
  <sheetFormatPr defaultRowHeight="18.75" x14ac:dyDescent="0.3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96875" bestFit="1" customWidth="1"/>
  </cols>
  <sheetData>
    <row r="1" spans="1:12" s="2" customFormat="1" ht="32.65" customHeight="1" thickBot="1" x14ac:dyDescent="0.35">
      <c r="A1" s="36">
        <v>10</v>
      </c>
      <c r="B1" s="1" t="s">
        <v>150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8"/>
      <c r="J3" s="38"/>
      <c r="K3" s="38"/>
      <c r="L3" s="38"/>
    </row>
    <row r="4" spans="1:12" x14ac:dyDescent="0.3">
      <c r="B4" s="39" t="s">
        <v>151</v>
      </c>
      <c r="C4" s="61" t="s">
        <v>90</v>
      </c>
      <c r="D4" s="39">
        <v>15000</v>
      </c>
      <c r="E4" s="39">
        <v>28000</v>
      </c>
      <c r="F4" s="39">
        <v>22000</v>
      </c>
      <c r="G4" s="4">
        <f>AVERAGE(D4:F4)</f>
        <v>21666.666666666668</v>
      </c>
    </row>
    <row r="5" spans="1:12" x14ac:dyDescent="0.3">
      <c r="B5" s="39" t="s">
        <v>138</v>
      </c>
      <c r="C5" s="61" t="s">
        <v>92</v>
      </c>
      <c r="D5" s="39">
        <v>22000</v>
      </c>
      <c r="E5" s="39">
        <v>9500</v>
      </c>
      <c r="F5" s="39">
        <v>7300</v>
      </c>
      <c r="G5" s="4">
        <f t="shared" ref="G5:G11" si="0">AVERAGE(D5:F5)</f>
        <v>12933.333333333334</v>
      </c>
    </row>
    <row r="6" spans="1:12" x14ac:dyDescent="0.3">
      <c r="B6" s="39" t="s">
        <v>152</v>
      </c>
      <c r="C6" s="61" t="s">
        <v>94</v>
      </c>
      <c r="D6" s="39">
        <v>8200</v>
      </c>
      <c r="E6" s="39">
        <v>11000</v>
      </c>
      <c r="F6" s="39">
        <v>31000</v>
      </c>
      <c r="G6" s="4">
        <f t="shared" si="0"/>
        <v>16733.333333333332</v>
      </c>
    </row>
    <row r="7" spans="1:12" x14ac:dyDescent="0.3">
      <c r="B7" s="39" t="s">
        <v>151</v>
      </c>
      <c r="C7" s="61" t="s">
        <v>90</v>
      </c>
      <c r="D7" s="39">
        <v>32000</v>
      </c>
      <c r="E7" s="39">
        <v>26000</v>
      </c>
      <c r="F7" s="39">
        <v>28000</v>
      </c>
      <c r="G7" s="4">
        <f t="shared" si="0"/>
        <v>28666.666666666668</v>
      </c>
    </row>
    <row r="8" spans="1:12" x14ac:dyDescent="0.3">
      <c r="B8" s="39" t="s">
        <v>138</v>
      </c>
      <c r="C8" s="61" t="s">
        <v>92</v>
      </c>
      <c r="D8" s="39">
        <v>19000</v>
      </c>
      <c r="E8" s="39">
        <v>8500</v>
      </c>
      <c r="F8" s="39">
        <v>9100</v>
      </c>
      <c r="G8" s="4">
        <f t="shared" si="0"/>
        <v>12200</v>
      </c>
    </row>
    <row r="9" spans="1:12" x14ac:dyDescent="0.3">
      <c r="B9" s="39" t="s">
        <v>152</v>
      </c>
      <c r="C9" s="61" t="s">
        <v>94</v>
      </c>
      <c r="D9" s="39">
        <v>27000</v>
      </c>
      <c r="E9" s="39">
        <v>15000</v>
      </c>
      <c r="F9" s="39">
        <v>9200</v>
      </c>
      <c r="G9" s="4">
        <f t="shared" si="0"/>
        <v>17066.666666666668</v>
      </c>
    </row>
    <row r="10" spans="1:12" x14ac:dyDescent="0.3">
      <c r="B10" s="39" t="s">
        <v>151</v>
      </c>
      <c r="C10" s="61" t="s">
        <v>90</v>
      </c>
      <c r="D10" s="39">
        <v>6300</v>
      </c>
      <c r="E10" s="39">
        <v>18000</v>
      </c>
      <c r="F10" s="39">
        <v>17000</v>
      </c>
      <c r="G10" s="4">
        <f t="shared" si="0"/>
        <v>13766.666666666666</v>
      </c>
    </row>
    <row r="11" spans="1:12" x14ac:dyDescent="0.3">
      <c r="B11" s="39" t="s">
        <v>138</v>
      </c>
      <c r="C11" s="61" t="s">
        <v>92</v>
      </c>
      <c r="D11" s="39">
        <v>7200</v>
      </c>
      <c r="E11" s="39">
        <v>26000</v>
      </c>
      <c r="F11" s="39">
        <v>8300</v>
      </c>
      <c r="G11" s="4">
        <f t="shared" si="0"/>
        <v>13833.333333333334</v>
      </c>
    </row>
    <row r="16" spans="1:12" x14ac:dyDescent="0.3">
      <c r="B16" s="3" t="s">
        <v>83</v>
      </c>
      <c r="C16" s="3" t="s">
        <v>84</v>
      </c>
      <c r="D16" s="3" t="s">
        <v>96</v>
      </c>
      <c r="H16" s="38"/>
      <c r="I16" s="38"/>
      <c r="J16" s="38"/>
    </row>
    <row r="17" spans="2:6" x14ac:dyDescent="0.3">
      <c r="B17" s="39" t="s">
        <v>89</v>
      </c>
      <c r="C17" s="39" t="s">
        <v>90</v>
      </c>
      <c r="D17" s="39">
        <v>21000</v>
      </c>
      <c r="F17">
        <f>AVERAGE(D17:D24)</f>
        <v>29200</v>
      </c>
    </row>
    <row r="18" spans="2:6" x14ac:dyDescent="0.3">
      <c r="B18" s="39" t="s">
        <v>91</v>
      </c>
      <c r="C18" s="39" t="s">
        <v>92</v>
      </c>
      <c r="D18" s="39">
        <v>8900</v>
      </c>
    </row>
    <row r="19" spans="2:6" x14ac:dyDescent="0.3">
      <c r="B19" s="39" t="s">
        <v>93</v>
      </c>
      <c r="C19" s="39" t="s">
        <v>94</v>
      </c>
      <c r="D19" s="39">
        <v>32500</v>
      </c>
    </row>
    <row r="20" spans="2:6" x14ac:dyDescent="0.3">
      <c r="B20" s="39" t="s">
        <v>89</v>
      </c>
      <c r="C20" s="39" t="s">
        <v>90</v>
      </c>
      <c r="D20" s="39">
        <v>27500</v>
      </c>
    </row>
    <row r="21" spans="2:6" x14ac:dyDescent="0.3">
      <c r="B21" s="39" t="s">
        <v>91</v>
      </c>
      <c r="C21" s="39" t="s">
        <v>92</v>
      </c>
      <c r="D21" s="39">
        <v>9200</v>
      </c>
    </row>
    <row r="22" spans="2:6" x14ac:dyDescent="0.3">
      <c r="B22" s="39" t="s">
        <v>93</v>
      </c>
      <c r="C22" s="39" t="s">
        <v>94</v>
      </c>
      <c r="D22" s="39">
        <v>9100</v>
      </c>
    </row>
    <row r="23" spans="2:6" x14ac:dyDescent="0.3">
      <c r="B23" s="39" t="s">
        <v>89</v>
      </c>
      <c r="C23" s="39" t="s">
        <v>90</v>
      </c>
      <c r="D23" s="39">
        <v>29000</v>
      </c>
    </row>
    <row r="24" spans="2:6" x14ac:dyDescent="0.3">
      <c r="B24" s="39" t="s">
        <v>91</v>
      </c>
      <c r="C24" s="39" t="s">
        <v>92</v>
      </c>
      <c r="D24" s="39">
        <v>96400</v>
      </c>
    </row>
    <row r="25" spans="2:6" x14ac:dyDescent="0.3">
      <c r="C25">
        <f>AVERAGE(D17:D24)</f>
        <v>29200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22"/>
  <sheetViews>
    <sheetView zoomScale="130" zoomScaleNormal="130" workbookViewId="0">
      <pane ySplit="1" topLeftCell="A3" activePane="bottomLeft" state="frozen"/>
      <selection pane="bottomLeft" activeCell="G3" sqref="G3"/>
    </sheetView>
  </sheetViews>
  <sheetFormatPr defaultRowHeight="18.75" x14ac:dyDescent="0.3"/>
  <cols>
    <col min="2" max="2" width="14" customWidth="1"/>
    <col min="4" max="4" width="8.19921875" customWidth="1"/>
    <col min="6" max="6" width="13.59765625" customWidth="1"/>
    <col min="9" max="9" width="13.296875" bestFit="1" customWidth="1"/>
  </cols>
  <sheetData>
    <row r="1" spans="1:11" s="2" customFormat="1" ht="32.65" customHeight="1" thickBot="1" x14ac:dyDescent="0.35">
      <c r="A1" s="36">
        <v>11</v>
      </c>
      <c r="B1" s="1" t="s">
        <v>153</v>
      </c>
    </row>
    <row r="2" spans="1:11" x14ac:dyDescent="0.3">
      <c r="A2" s="37" t="s">
        <v>2</v>
      </c>
    </row>
    <row r="3" spans="1:11" x14ac:dyDescent="0.3">
      <c r="B3" s="40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8"/>
      <c r="J3" s="38"/>
      <c r="K3" s="38"/>
    </row>
    <row r="4" spans="1:11" x14ac:dyDescent="0.3">
      <c r="B4" s="39" t="s">
        <v>155</v>
      </c>
      <c r="C4" s="39" t="s">
        <v>90</v>
      </c>
      <c r="D4" s="39">
        <v>19500</v>
      </c>
      <c r="F4" s="39" t="s">
        <v>156</v>
      </c>
      <c r="G4" s="4">
        <f>AVERAGEIF(B4:B11,F4,D4:D11)</f>
        <v>7466.666666666667</v>
      </c>
    </row>
    <row r="5" spans="1:11" x14ac:dyDescent="0.3">
      <c r="B5" s="39" t="s">
        <v>156</v>
      </c>
      <c r="C5" s="39" t="s">
        <v>92</v>
      </c>
      <c r="D5" s="39">
        <v>6200</v>
      </c>
    </row>
    <row r="6" spans="1:11" x14ac:dyDescent="0.3">
      <c r="B6" s="39" t="s">
        <v>157</v>
      </c>
      <c r="C6" s="39" t="s">
        <v>94</v>
      </c>
      <c r="D6" s="39">
        <v>31500</v>
      </c>
    </row>
    <row r="7" spans="1:11" x14ac:dyDescent="0.3">
      <c r="B7" s="39" t="s">
        <v>155</v>
      </c>
      <c r="C7" s="39" t="s">
        <v>90</v>
      </c>
      <c r="D7" s="39">
        <v>28500</v>
      </c>
    </row>
    <row r="8" spans="1:11" x14ac:dyDescent="0.3">
      <c r="B8" s="39" t="s">
        <v>156</v>
      </c>
      <c r="C8" s="39" t="s">
        <v>92</v>
      </c>
      <c r="D8" s="39">
        <v>9400</v>
      </c>
    </row>
    <row r="9" spans="1:11" x14ac:dyDescent="0.3">
      <c r="B9" s="39" t="s">
        <v>157</v>
      </c>
      <c r="C9" s="39" t="s">
        <v>94</v>
      </c>
      <c r="D9" s="39">
        <v>7200</v>
      </c>
    </row>
    <row r="10" spans="1:11" x14ac:dyDescent="0.3">
      <c r="B10" s="39" t="s">
        <v>155</v>
      </c>
      <c r="C10" s="39" t="s">
        <v>90</v>
      </c>
      <c r="D10" s="39">
        <v>27000</v>
      </c>
    </row>
    <row r="11" spans="1:11" x14ac:dyDescent="0.3">
      <c r="B11" s="39" t="s">
        <v>156</v>
      </c>
      <c r="C11" s="39" t="s">
        <v>92</v>
      </c>
      <c r="D11" s="39">
        <v>6800</v>
      </c>
    </row>
    <row r="14" spans="1:11" x14ac:dyDescent="0.3">
      <c r="B14" s="40" t="s">
        <v>83</v>
      </c>
      <c r="C14" s="3" t="s">
        <v>84</v>
      </c>
      <c r="D14" s="3" t="s">
        <v>96</v>
      </c>
      <c r="F14" s="10" t="s">
        <v>983</v>
      </c>
      <c r="G14" s="10" t="s">
        <v>984</v>
      </c>
    </row>
    <row r="15" spans="1:11" x14ac:dyDescent="0.3">
      <c r="B15" s="39" t="s">
        <v>155</v>
      </c>
      <c r="C15" s="39" t="s">
        <v>90</v>
      </c>
      <c r="D15" s="39">
        <v>19500</v>
      </c>
      <c r="F15" t="s">
        <v>985</v>
      </c>
      <c r="G15">
        <f>AVERAGEIF(B15:B22,F15,D15:D22)</f>
        <v>7466.666666666667</v>
      </c>
    </row>
    <row r="16" spans="1:11" x14ac:dyDescent="0.3">
      <c r="B16" s="39" t="s">
        <v>156</v>
      </c>
      <c r="C16" s="39" t="s">
        <v>92</v>
      </c>
      <c r="D16" s="39">
        <v>6200</v>
      </c>
    </row>
    <row r="17" spans="2:4" x14ac:dyDescent="0.3">
      <c r="B17" s="39" t="s">
        <v>157</v>
      </c>
      <c r="C17" s="39" t="s">
        <v>94</v>
      </c>
      <c r="D17" s="39">
        <v>31500</v>
      </c>
    </row>
    <row r="18" spans="2:4" x14ac:dyDescent="0.3">
      <c r="B18" s="39" t="s">
        <v>155</v>
      </c>
      <c r="C18" s="39" t="s">
        <v>90</v>
      </c>
      <c r="D18" s="39">
        <v>28500</v>
      </c>
    </row>
    <row r="19" spans="2:4" x14ac:dyDescent="0.3">
      <c r="B19" s="39" t="s">
        <v>156</v>
      </c>
      <c r="C19" s="39" t="s">
        <v>92</v>
      </c>
      <c r="D19" s="39">
        <v>9400</v>
      </c>
    </row>
    <row r="20" spans="2:4" x14ac:dyDescent="0.3">
      <c r="B20" s="39" t="s">
        <v>157</v>
      </c>
      <c r="C20" s="39" t="s">
        <v>94</v>
      </c>
      <c r="D20" s="39">
        <v>7200</v>
      </c>
    </row>
    <row r="21" spans="2:4" x14ac:dyDescent="0.3">
      <c r="B21" s="39" t="s">
        <v>155</v>
      </c>
      <c r="C21" s="39" t="s">
        <v>90</v>
      </c>
      <c r="D21" s="39">
        <v>27000</v>
      </c>
    </row>
    <row r="22" spans="2:4" x14ac:dyDescent="0.3">
      <c r="B22" s="39" t="s">
        <v>156</v>
      </c>
      <c r="C22" s="39" t="s">
        <v>92</v>
      </c>
      <c r="D22" s="39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22"/>
  <sheetViews>
    <sheetView zoomScale="130" zoomScaleNormal="130" workbookViewId="0">
      <pane ySplit="1" topLeftCell="A10" activePane="bottomLeft" state="frozen"/>
      <selection pane="bottomLeft" activeCell="G15" sqref="G15"/>
    </sheetView>
  </sheetViews>
  <sheetFormatPr defaultRowHeight="18.75" x14ac:dyDescent="0.3"/>
  <cols>
    <col min="2" max="2" width="14" customWidth="1"/>
    <col min="4" max="4" width="8.5" customWidth="1"/>
    <col min="6" max="6" width="14.3984375" customWidth="1"/>
    <col min="7" max="7" width="12.296875" bestFit="1" customWidth="1"/>
    <col min="8" max="8" width="13.296875" bestFit="1" customWidth="1"/>
  </cols>
  <sheetData>
    <row r="1" spans="1:10" s="2" customFormat="1" ht="32.65" customHeight="1" thickBot="1" x14ac:dyDescent="0.35">
      <c r="A1" s="36">
        <v>12</v>
      </c>
      <c r="B1" s="1" t="s">
        <v>158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64" t="s">
        <v>96</v>
      </c>
      <c r="F3" s="65" t="s">
        <v>83</v>
      </c>
      <c r="G3" s="40" t="s">
        <v>154</v>
      </c>
      <c r="H3" s="38"/>
      <c r="I3" s="38"/>
      <c r="J3" s="38"/>
    </row>
    <row r="4" spans="1:10" x14ac:dyDescent="0.3">
      <c r="B4" s="39" t="s">
        <v>159</v>
      </c>
      <c r="C4" s="39" t="s">
        <v>90</v>
      </c>
      <c r="D4" s="61">
        <v>22500</v>
      </c>
      <c r="F4" s="39" t="s">
        <v>160</v>
      </c>
      <c r="G4" s="39" t="str">
        <f>IFERROR(AVERAGEIF(B4:B11,F4,D4:D11),"Not Found")</f>
        <v>Not Found</v>
      </c>
    </row>
    <row r="5" spans="1:10" x14ac:dyDescent="0.3">
      <c r="B5" s="39" t="s">
        <v>161</v>
      </c>
      <c r="C5" s="39" t="s">
        <v>92</v>
      </c>
      <c r="D5" s="61">
        <v>5800</v>
      </c>
      <c r="G5" t="str">
        <f>IFERROR(AVERAGEIF(B4:B11,F4,D4:D11)," no data")</f>
        <v xml:space="preserve"> no data</v>
      </c>
    </row>
    <row r="6" spans="1:10" x14ac:dyDescent="0.3">
      <c r="B6" s="39" t="s">
        <v>162</v>
      </c>
      <c r="C6" s="39" t="s">
        <v>94</v>
      </c>
      <c r="D6" s="61">
        <v>29800</v>
      </c>
      <c r="G6" t="str">
        <f>IFERROR(AVERAGEIF(B4:B11,F4,D4:D11)," not av")</f>
        <v xml:space="preserve"> not av</v>
      </c>
    </row>
    <row r="7" spans="1:10" x14ac:dyDescent="0.3">
      <c r="B7" s="39" t="s">
        <v>159</v>
      </c>
      <c r="C7" s="39" t="s">
        <v>90</v>
      </c>
      <c r="D7" s="61">
        <v>31000</v>
      </c>
    </row>
    <row r="8" spans="1:10" x14ac:dyDescent="0.3">
      <c r="B8" s="39" t="s">
        <v>161</v>
      </c>
      <c r="C8" s="39" t="s">
        <v>92</v>
      </c>
      <c r="D8" s="61">
        <v>9100</v>
      </c>
      <c r="F8" t="e">
        <v>#N/A</v>
      </c>
    </row>
    <row r="9" spans="1:10" x14ac:dyDescent="0.3">
      <c r="B9" s="39" t="s">
        <v>162</v>
      </c>
      <c r="C9" s="39" t="s">
        <v>94</v>
      </c>
      <c r="D9" s="61">
        <v>6900</v>
      </c>
      <c r="F9" t="e">
        <v>#VALUE!</v>
      </c>
    </row>
    <row r="10" spans="1:10" x14ac:dyDescent="0.3">
      <c r="B10" s="39" t="s">
        <v>159</v>
      </c>
      <c r="C10" s="39" t="s">
        <v>90</v>
      </c>
      <c r="D10" s="61">
        <v>28000</v>
      </c>
      <c r="F10" t="e">
        <v>#DIV/0!</v>
      </c>
    </row>
    <row r="11" spans="1:10" x14ac:dyDescent="0.3">
      <c r="B11" s="39" t="s">
        <v>161</v>
      </c>
      <c r="C11" s="39" t="s">
        <v>92</v>
      </c>
      <c r="D11" s="61">
        <v>6600</v>
      </c>
    </row>
    <row r="14" spans="1:10" x14ac:dyDescent="0.3">
      <c r="B14" s="40" t="s">
        <v>83</v>
      </c>
      <c r="C14" s="40" t="s">
        <v>84</v>
      </c>
      <c r="D14" s="64" t="s">
        <v>96</v>
      </c>
      <c r="F14" s="10" t="s">
        <v>986</v>
      </c>
      <c r="G14" s="10" t="s">
        <v>987</v>
      </c>
    </row>
    <row r="15" spans="1:10" x14ac:dyDescent="0.3">
      <c r="B15" s="39" t="s">
        <v>159</v>
      </c>
      <c r="C15" s="39" t="s">
        <v>90</v>
      </c>
      <c r="D15" s="61">
        <v>22500</v>
      </c>
      <c r="F15" t="s">
        <v>160</v>
      </c>
      <c r="G15" t="str">
        <f>IFERROR(AVERAGEIF(B15:B22,F15,D15:D22),"Not found")</f>
        <v>Not found</v>
      </c>
    </row>
    <row r="16" spans="1:10" x14ac:dyDescent="0.3">
      <c r="B16" s="39" t="s">
        <v>161</v>
      </c>
      <c r="C16" s="39" t="s">
        <v>92</v>
      </c>
      <c r="D16" s="61">
        <v>5800</v>
      </c>
    </row>
    <row r="17" spans="2:4" x14ac:dyDescent="0.3">
      <c r="B17" s="39" t="s">
        <v>162</v>
      </c>
      <c r="C17" s="39" t="s">
        <v>94</v>
      </c>
      <c r="D17" s="61">
        <v>29800</v>
      </c>
    </row>
    <row r="18" spans="2:4" x14ac:dyDescent="0.3">
      <c r="B18" s="39" t="s">
        <v>159</v>
      </c>
      <c r="C18" s="39" t="s">
        <v>90</v>
      </c>
      <c r="D18" s="61">
        <v>31000</v>
      </c>
    </row>
    <row r="19" spans="2:4" x14ac:dyDescent="0.3">
      <c r="B19" s="39" t="s">
        <v>161</v>
      </c>
      <c r="C19" s="39" t="s">
        <v>92</v>
      </c>
      <c r="D19" s="61">
        <v>9100</v>
      </c>
    </row>
    <row r="20" spans="2:4" x14ac:dyDescent="0.3">
      <c r="B20" s="39" t="s">
        <v>162</v>
      </c>
      <c r="C20" s="39" t="s">
        <v>94</v>
      </c>
      <c r="D20" s="61">
        <v>6900</v>
      </c>
    </row>
    <row r="21" spans="2:4" x14ac:dyDescent="0.3">
      <c r="B21" s="39" t="s">
        <v>159</v>
      </c>
      <c r="C21" s="39" t="s">
        <v>90</v>
      </c>
      <c r="D21" s="61">
        <v>28000</v>
      </c>
    </row>
    <row r="22" spans="2:4" x14ac:dyDescent="0.3">
      <c r="B22" s="39" t="s">
        <v>161</v>
      </c>
      <c r="C22" s="39" t="s">
        <v>92</v>
      </c>
      <c r="D22" s="61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22"/>
  <sheetViews>
    <sheetView zoomScale="130" zoomScaleNormal="130" workbookViewId="0">
      <pane ySplit="1" topLeftCell="A2" activePane="bottomLeft" state="frozen"/>
      <selection pane="bottomLeft" activeCell="H1" sqref="H1"/>
    </sheetView>
  </sheetViews>
  <sheetFormatPr defaultRowHeight="18.75" x14ac:dyDescent="0.3"/>
  <cols>
    <col min="2" max="2" width="14" customWidth="1"/>
    <col min="4" max="4" width="8.3984375" customWidth="1"/>
    <col min="6" max="6" width="13.59765625" customWidth="1"/>
    <col min="10" max="10" width="13.296875" bestFit="1" customWidth="1"/>
  </cols>
  <sheetData>
    <row r="1" spans="1:12" s="2" customFormat="1" ht="32.65" customHeight="1" thickBot="1" x14ac:dyDescent="0.35">
      <c r="A1" s="36">
        <v>13</v>
      </c>
      <c r="B1" s="1" t="s">
        <v>163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159</v>
      </c>
      <c r="C4" s="39" t="s">
        <v>90</v>
      </c>
      <c r="D4" s="39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3">
      <c r="B5" s="39" t="s">
        <v>161</v>
      </c>
      <c r="C5" s="39" t="s">
        <v>94</v>
      </c>
      <c r="D5" s="39">
        <v>28500</v>
      </c>
    </row>
    <row r="6" spans="1:12" x14ac:dyDescent="0.3">
      <c r="B6" s="39" t="s">
        <v>162</v>
      </c>
      <c r="C6" s="39" t="s">
        <v>94</v>
      </c>
      <c r="D6" s="39">
        <v>7200</v>
      </c>
    </row>
    <row r="7" spans="1:12" x14ac:dyDescent="0.3">
      <c r="B7" s="39" t="s">
        <v>159</v>
      </c>
      <c r="C7" s="39" t="s">
        <v>90</v>
      </c>
      <c r="D7" s="39">
        <v>33000</v>
      </c>
    </row>
    <row r="8" spans="1:12" x14ac:dyDescent="0.3">
      <c r="B8" s="39" t="s">
        <v>161</v>
      </c>
      <c r="C8" s="39" t="s">
        <v>94</v>
      </c>
      <c r="D8" s="39">
        <v>32000</v>
      </c>
    </row>
    <row r="9" spans="1:12" x14ac:dyDescent="0.3">
      <c r="B9" s="39" t="s">
        <v>162</v>
      </c>
      <c r="C9" s="39" t="s">
        <v>94</v>
      </c>
      <c r="D9" s="39">
        <v>25000</v>
      </c>
    </row>
    <row r="10" spans="1:12" x14ac:dyDescent="0.3">
      <c r="B10" s="39" t="s">
        <v>159</v>
      </c>
      <c r="C10" s="39" t="s">
        <v>117</v>
      </c>
      <c r="D10" s="39">
        <v>4600</v>
      </c>
    </row>
    <row r="11" spans="1:12" x14ac:dyDescent="0.3">
      <c r="B11" s="39" t="s">
        <v>161</v>
      </c>
      <c r="C11" s="39" t="s">
        <v>92</v>
      </c>
      <c r="D11" s="39">
        <v>7300</v>
      </c>
    </row>
    <row r="14" spans="1:12" x14ac:dyDescent="0.3">
      <c r="B14" s="3" t="s">
        <v>83</v>
      </c>
      <c r="C14" s="3" t="s">
        <v>84</v>
      </c>
      <c r="D14" s="3" t="s">
        <v>96</v>
      </c>
      <c r="F14" s="10" t="s">
        <v>83</v>
      </c>
      <c r="G14" s="10" t="s">
        <v>84</v>
      </c>
      <c r="H14" s="10" t="s">
        <v>988</v>
      </c>
    </row>
    <row r="15" spans="1:12" x14ac:dyDescent="0.3">
      <c r="B15" s="39" t="s">
        <v>159</v>
      </c>
      <c r="C15" s="39" t="s">
        <v>90</v>
      </c>
      <c r="D15" s="39">
        <v>13500</v>
      </c>
      <c r="F15" t="s">
        <v>159</v>
      </c>
      <c r="G15" t="s">
        <v>90</v>
      </c>
      <c r="H15">
        <f>AVERAGEIFS(D15:D22,B15:B22,F15,C15:C22,G15)</f>
        <v>23250</v>
      </c>
    </row>
    <row r="16" spans="1:12" x14ac:dyDescent="0.3">
      <c r="B16" s="39" t="s">
        <v>161</v>
      </c>
      <c r="C16" s="39" t="s">
        <v>94</v>
      </c>
      <c r="D16" s="39">
        <v>28500</v>
      </c>
    </row>
    <row r="17" spans="2:4" x14ac:dyDescent="0.3">
      <c r="B17" s="39" t="s">
        <v>162</v>
      </c>
      <c r="C17" s="39" t="s">
        <v>94</v>
      </c>
      <c r="D17" s="39">
        <v>7200</v>
      </c>
    </row>
    <row r="18" spans="2:4" x14ac:dyDescent="0.3">
      <c r="B18" s="39" t="s">
        <v>159</v>
      </c>
      <c r="C18" s="39" t="s">
        <v>90</v>
      </c>
      <c r="D18" s="39">
        <v>33000</v>
      </c>
    </row>
    <row r="19" spans="2:4" x14ac:dyDescent="0.3">
      <c r="B19" s="39" t="s">
        <v>161</v>
      </c>
      <c r="C19" s="39" t="s">
        <v>94</v>
      </c>
      <c r="D19" s="39">
        <v>32000</v>
      </c>
    </row>
    <row r="20" spans="2:4" x14ac:dyDescent="0.3">
      <c r="B20" s="39" t="s">
        <v>162</v>
      </c>
      <c r="C20" s="39" t="s">
        <v>94</v>
      </c>
      <c r="D20" s="39">
        <v>25000</v>
      </c>
    </row>
    <row r="21" spans="2:4" x14ac:dyDescent="0.3">
      <c r="B21" s="39" t="s">
        <v>159</v>
      </c>
      <c r="C21" s="39" t="s">
        <v>117</v>
      </c>
      <c r="D21" s="39">
        <v>4600</v>
      </c>
    </row>
    <row r="22" spans="2:4" x14ac:dyDescent="0.3">
      <c r="B22" s="39" t="s">
        <v>161</v>
      </c>
      <c r="C22" s="39" t="s">
        <v>92</v>
      </c>
      <c r="D22" s="39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E4" sqref="E4:E8"/>
    </sheetView>
  </sheetViews>
  <sheetFormatPr defaultRowHeight="18.75" x14ac:dyDescent="0.3"/>
  <cols>
    <col min="2" max="2" width="14" customWidth="1"/>
    <col min="3" max="3" width="27.69921875" customWidth="1"/>
    <col min="4" max="4" width="14.8984375" customWidth="1"/>
    <col min="5" max="5" width="13.296875" bestFit="1" customWidth="1"/>
    <col min="6" max="6" width="28.296875" bestFit="1" customWidth="1"/>
    <col min="7" max="7" width="9.19921875" bestFit="1" customWidth="1"/>
  </cols>
  <sheetData>
    <row r="1" spans="1:7" s="2" customFormat="1" ht="32.65" customHeight="1" thickBot="1" x14ac:dyDescent="0.35">
      <c r="A1" s="36">
        <v>14</v>
      </c>
      <c r="B1" s="1" t="s">
        <v>20</v>
      </c>
      <c r="C1" s="1"/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164</v>
      </c>
      <c r="D3" s="3" t="s">
        <v>165</v>
      </c>
      <c r="E3" s="38"/>
      <c r="F3" s="38"/>
      <c r="G3" s="38"/>
    </row>
    <row r="4" spans="1:7" x14ac:dyDescent="0.3">
      <c r="B4" s="39" t="s">
        <v>89</v>
      </c>
      <c r="C4" s="39" t="s">
        <v>166</v>
      </c>
      <c r="D4" s="39"/>
      <c r="E4">
        <f>LEN(C4)</f>
        <v>29</v>
      </c>
    </row>
    <row r="5" spans="1:7" x14ac:dyDescent="0.3">
      <c r="B5" s="39" t="s">
        <v>91</v>
      </c>
      <c r="C5" s="39"/>
      <c r="D5" s="39"/>
      <c r="E5">
        <f t="shared" ref="E5:E8" si="0">LEN(C5)</f>
        <v>0</v>
      </c>
    </row>
    <row r="6" spans="1:7" x14ac:dyDescent="0.3">
      <c r="B6" s="39" t="s">
        <v>93</v>
      </c>
      <c r="C6" s="39" t="s">
        <v>167</v>
      </c>
      <c r="D6" s="39"/>
      <c r="E6">
        <f t="shared" si="0"/>
        <v>24</v>
      </c>
    </row>
    <row r="7" spans="1:7" x14ac:dyDescent="0.3">
      <c r="B7" s="39" t="s">
        <v>91</v>
      </c>
      <c r="C7" s="39"/>
      <c r="D7" s="39"/>
      <c r="E7">
        <f t="shared" si="0"/>
        <v>0</v>
      </c>
    </row>
    <row r="8" spans="1:7" x14ac:dyDescent="0.3">
      <c r="B8" s="39" t="s">
        <v>91</v>
      </c>
      <c r="C8" s="39"/>
      <c r="D8" s="39"/>
      <c r="E8">
        <f t="shared" si="0"/>
        <v>0</v>
      </c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22"/>
  <sheetViews>
    <sheetView zoomScale="130" zoomScaleNormal="130" workbookViewId="0">
      <pane ySplit="1" topLeftCell="A3" activePane="bottomLeft" state="frozen"/>
      <selection pane="bottomLeft" activeCell="I3" sqref="I3"/>
    </sheetView>
  </sheetViews>
  <sheetFormatPr defaultRowHeight="18.75" x14ac:dyDescent="0.3"/>
  <cols>
    <col min="2" max="2" width="14" customWidth="1"/>
    <col min="3" max="3" width="10.3984375" customWidth="1"/>
    <col min="8" max="8" width="11" customWidth="1"/>
    <col min="11" max="11" width="13.296875" bestFit="1" customWidth="1"/>
  </cols>
  <sheetData>
    <row r="1" spans="1:12" s="2" customFormat="1" ht="32.65" customHeight="1" thickBot="1" x14ac:dyDescent="0.35">
      <c r="A1" s="36">
        <v>15</v>
      </c>
      <c r="B1" s="1" t="s">
        <v>168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169</v>
      </c>
      <c r="I3" s="4">
        <f>MAX(D4:F11)</f>
        <v>32000</v>
      </c>
      <c r="K3" s="38"/>
    </row>
    <row r="4" spans="1:12" x14ac:dyDescent="0.3">
      <c r="B4" s="39" t="s">
        <v>170</v>
      </c>
      <c r="C4" s="39" t="s">
        <v>90</v>
      </c>
      <c r="D4" s="39">
        <v>15000</v>
      </c>
      <c r="E4" s="39">
        <v>32000</v>
      </c>
      <c r="F4" s="39">
        <v>22000</v>
      </c>
    </row>
    <row r="5" spans="1:12" x14ac:dyDescent="0.3">
      <c r="B5" s="39" t="s">
        <v>171</v>
      </c>
      <c r="C5" s="39" t="s">
        <v>92</v>
      </c>
      <c r="D5" s="39">
        <v>28000</v>
      </c>
      <c r="E5" s="39">
        <v>9100</v>
      </c>
      <c r="F5" s="39">
        <v>7300</v>
      </c>
      <c r="H5" s="49"/>
      <c r="I5" s="38"/>
      <c r="J5" s="38"/>
      <c r="L5" s="38"/>
    </row>
    <row r="6" spans="1:12" x14ac:dyDescent="0.3">
      <c r="B6" s="39" t="s">
        <v>172</v>
      </c>
      <c r="C6" s="39" t="s">
        <v>94</v>
      </c>
      <c r="D6" s="39">
        <v>8200</v>
      </c>
      <c r="E6" s="39">
        <v>9200</v>
      </c>
      <c r="F6" s="39">
        <v>31000</v>
      </c>
      <c r="H6" s="50"/>
    </row>
    <row r="7" spans="1:12" x14ac:dyDescent="0.3">
      <c r="B7" s="39" t="s">
        <v>170</v>
      </c>
      <c r="C7" s="39" t="s">
        <v>90</v>
      </c>
      <c r="D7" s="39">
        <v>8100</v>
      </c>
      <c r="E7" s="39">
        <v>26500</v>
      </c>
      <c r="F7" s="39">
        <v>29000</v>
      </c>
      <c r="H7" s="50"/>
    </row>
    <row r="8" spans="1:12" x14ac:dyDescent="0.3">
      <c r="B8" s="39" t="s">
        <v>171</v>
      </c>
      <c r="C8" s="39" t="s">
        <v>92</v>
      </c>
      <c r="D8" s="39">
        <v>19000</v>
      </c>
      <c r="E8" s="39">
        <v>8700</v>
      </c>
      <c r="F8" s="39">
        <v>9100</v>
      </c>
      <c r="H8" s="50"/>
    </row>
    <row r="9" spans="1:12" x14ac:dyDescent="0.3">
      <c r="B9" s="39" t="s">
        <v>172</v>
      </c>
      <c r="C9" s="39" t="s">
        <v>94</v>
      </c>
      <c r="D9" s="39">
        <v>27000</v>
      </c>
      <c r="E9" s="39">
        <v>15000</v>
      </c>
      <c r="F9" s="39">
        <v>9200</v>
      </c>
      <c r="H9" s="50"/>
    </row>
    <row r="10" spans="1:12" x14ac:dyDescent="0.3">
      <c r="B10" s="39" t="s">
        <v>170</v>
      </c>
      <c r="C10" s="39" t="s">
        <v>90</v>
      </c>
      <c r="D10" s="39">
        <v>6300</v>
      </c>
      <c r="E10" s="39">
        <v>18000</v>
      </c>
      <c r="F10" s="39">
        <v>17000</v>
      </c>
      <c r="H10" s="50"/>
    </row>
    <row r="11" spans="1:12" x14ac:dyDescent="0.3">
      <c r="B11" s="39" t="s">
        <v>171</v>
      </c>
      <c r="C11" s="39" t="s">
        <v>92</v>
      </c>
      <c r="D11" s="39">
        <v>7200</v>
      </c>
      <c r="E11" s="39">
        <v>26000</v>
      </c>
      <c r="F11" s="39">
        <v>8300</v>
      </c>
      <c r="H11" s="50"/>
    </row>
    <row r="12" spans="1:12" x14ac:dyDescent="0.3">
      <c r="H12" s="50"/>
    </row>
    <row r="13" spans="1:12" x14ac:dyDescent="0.3">
      <c r="H13" s="50"/>
    </row>
    <row r="14" spans="1:12" x14ac:dyDescent="0.3">
      <c r="B14" s="3" t="s">
        <v>83</v>
      </c>
      <c r="C14" s="3" t="s">
        <v>84</v>
      </c>
      <c r="D14" s="3" t="s">
        <v>85</v>
      </c>
      <c r="E14" s="3" t="s">
        <v>86</v>
      </c>
      <c r="F14" s="3" t="s">
        <v>87</v>
      </c>
      <c r="H14" s="142" t="s">
        <v>989</v>
      </c>
      <c r="I14">
        <f>MAX(D15:F22)</f>
        <v>32000</v>
      </c>
    </row>
    <row r="15" spans="1:12" x14ac:dyDescent="0.3">
      <c r="B15" s="39" t="s">
        <v>170</v>
      </c>
      <c r="C15" s="39" t="s">
        <v>90</v>
      </c>
      <c r="D15" s="39">
        <v>15000</v>
      </c>
      <c r="E15" s="39">
        <v>32000</v>
      </c>
      <c r="F15" s="39">
        <v>22000</v>
      </c>
    </row>
    <row r="16" spans="1:12" x14ac:dyDescent="0.3">
      <c r="B16" s="39" t="s">
        <v>171</v>
      </c>
      <c r="C16" s="39" t="s">
        <v>92</v>
      </c>
      <c r="D16" s="39">
        <v>28000</v>
      </c>
      <c r="E16" s="39">
        <v>9100</v>
      </c>
      <c r="F16" s="39">
        <v>7300</v>
      </c>
    </row>
    <row r="17" spans="2:6" x14ac:dyDescent="0.3">
      <c r="B17" s="39" t="s">
        <v>172</v>
      </c>
      <c r="C17" s="39" t="s">
        <v>94</v>
      </c>
      <c r="D17" s="39">
        <v>8200</v>
      </c>
      <c r="E17" s="39">
        <v>9200</v>
      </c>
      <c r="F17" s="39">
        <v>31000</v>
      </c>
    </row>
    <row r="18" spans="2:6" x14ac:dyDescent="0.3">
      <c r="B18" s="39" t="s">
        <v>170</v>
      </c>
      <c r="C18" s="39" t="s">
        <v>90</v>
      </c>
      <c r="D18" s="39">
        <v>8100</v>
      </c>
      <c r="E18" s="39">
        <v>26500</v>
      </c>
      <c r="F18" s="39">
        <v>29000</v>
      </c>
    </row>
    <row r="19" spans="2:6" x14ac:dyDescent="0.3">
      <c r="B19" s="39" t="s">
        <v>171</v>
      </c>
      <c r="C19" s="39" t="s">
        <v>92</v>
      </c>
      <c r="D19" s="39">
        <v>19000</v>
      </c>
      <c r="E19" s="39">
        <v>8700</v>
      </c>
      <c r="F19" s="39">
        <v>9100</v>
      </c>
    </row>
    <row r="20" spans="2:6" x14ac:dyDescent="0.3">
      <c r="B20" s="39" t="s">
        <v>172</v>
      </c>
      <c r="C20" s="39" t="s">
        <v>94</v>
      </c>
      <c r="D20" s="39">
        <v>27000</v>
      </c>
      <c r="E20" s="39">
        <v>15000</v>
      </c>
      <c r="F20" s="39">
        <v>9200</v>
      </c>
    </row>
    <row r="21" spans="2:6" x14ac:dyDescent="0.3">
      <c r="B21" s="39" t="s">
        <v>170</v>
      </c>
      <c r="C21" s="39" t="s">
        <v>90</v>
      </c>
      <c r="D21" s="39">
        <v>6300</v>
      </c>
      <c r="E21" s="39">
        <v>18000</v>
      </c>
      <c r="F21" s="39">
        <v>17000</v>
      </c>
    </row>
    <row r="22" spans="2:6" x14ac:dyDescent="0.3">
      <c r="B22" s="39" t="s">
        <v>171</v>
      </c>
      <c r="C22" s="39" t="s">
        <v>92</v>
      </c>
      <c r="D22" s="39">
        <v>7200</v>
      </c>
      <c r="E22" s="39">
        <v>26000</v>
      </c>
      <c r="F22" s="39">
        <v>8300</v>
      </c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5" sqref="I5"/>
    </sheetView>
  </sheetViews>
  <sheetFormatPr defaultRowHeight="18.75" x14ac:dyDescent="0.3"/>
  <cols>
    <col min="2" max="2" width="14" customWidth="1"/>
    <col min="3" max="3" width="10.3984375" customWidth="1"/>
    <col min="8" max="8" width="14.796875" customWidth="1"/>
    <col min="11" max="11" width="13.296875" bestFit="1" customWidth="1"/>
  </cols>
  <sheetData>
    <row r="1" spans="1:12" s="2" customFormat="1" ht="32.65" customHeight="1" thickBot="1" x14ac:dyDescent="0.35">
      <c r="A1" s="36">
        <v>16</v>
      </c>
      <c r="B1" s="1" t="s">
        <v>173</v>
      </c>
    </row>
    <row r="2" spans="1:12" x14ac:dyDescent="0.3">
      <c r="A2" s="37" t="s">
        <v>2</v>
      </c>
    </row>
    <row r="3" spans="1:12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H3" s="3" t="s">
        <v>174</v>
      </c>
      <c r="I3" s="4">
        <f>LARGE(D4:F11,1)</f>
        <v>99600</v>
      </c>
      <c r="K3" s="38"/>
    </row>
    <row r="4" spans="1:12" x14ac:dyDescent="0.3">
      <c r="B4" s="39" t="s">
        <v>175</v>
      </c>
      <c r="C4" s="39" t="s">
        <v>90</v>
      </c>
      <c r="D4" s="39">
        <v>15500</v>
      </c>
      <c r="E4" s="39">
        <v>29500</v>
      </c>
      <c r="F4" s="39">
        <v>22000</v>
      </c>
      <c r="H4" s="3" t="s">
        <v>176</v>
      </c>
      <c r="I4" s="4">
        <f>LARGE(D4:F11,2)</f>
        <v>34000</v>
      </c>
    </row>
    <row r="5" spans="1:12" x14ac:dyDescent="0.3">
      <c r="B5" s="39" t="s">
        <v>177</v>
      </c>
      <c r="C5" s="39" t="s">
        <v>92</v>
      </c>
      <c r="D5" s="39">
        <v>28500</v>
      </c>
      <c r="E5" s="39">
        <v>9400</v>
      </c>
      <c r="F5" s="39">
        <v>7200</v>
      </c>
      <c r="H5" s="3" t="s">
        <v>178</v>
      </c>
      <c r="I5" s="4">
        <f>LARGE(D4:F11,3)</f>
        <v>31000</v>
      </c>
    </row>
    <row r="6" spans="1:12" x14ac:dyDescent="0.3">
      <c r="B6" s="39" t="s">
        <v>179</v>
      </c>
      <c r="C6" s="39" t="s">
        <v>94</v>
      </c>
      <c r="D6" s="39">
        <v>8200</v>
      </c>
      <c r="E6" s="39">
        <v>99600</v>
      </c>
      <c r="F6" s="39">
        <v>30500</v>
      </c>
    </row>
    <row r="7" spans="1:12" x14ac:dyDescent="0.3">
      <c r="B7" s="39" t="s">
        <v>175</v>
      </c>
      <c r="C7" s="39" t="s">
        <v>90</v>
      </c>
      <c r="D7" s="39">
        <v>34000</v>
      </c>
      <c r="E7" s="39">
        <v>28000</v>
      </c>
      <c r="F7" s="39">
        <v>31000</v>
      </c>
      <c r="H7" s="38"/>
      <c r="I7" s="38"/>
      <c r="J7" s="38"/>
      <c r="L7" s="38"/>
    </row>
    <row r="8" spans="1:12" x14ac:dyDescent="0.3">
      <c r="B8" s="39" t="s">
        <v>177</v>
      </c>
      <c r="C8" s="39" t="s">
        <v>92</v>
      </c>
      <c r="D8" s="39">
        <v>26500</v>
      </c>
      <c r="E8" s="39">
        <v>8700</v>
      </c>
      <c r="F8" s="39">
        <v>9100</v>
      </c>
    </row>
    <row r="9" spans="1:12" x14ac:dyDescent="0.3">
      <c r="B9" s="39" t="s">
        <v>179</v>
      </c>
      <c r="C9" s="39" t="s">
        <v>94</v>
      </c>
      <c r="D9" s="39">
        <v>27000</v>
      </c>
      <c r="E9" s="39">
        <v>14000</v>
      </c>
      <c r="F9" s="39">
        <v>9800</v>
      </c>
    </row>
    <row r="10" spans="1:12" x14ac:dyDescent="0.3">
      <c r="B10" s="39" t="s">
        <v>175</v>
      </c>
      <c r="C10" s="39" t="s">
        <v>90</v>
      </c>
      <c r="D10" s="39">
        <v>6300</v>
      </c>
      <c r="E10" s="39">
        <v>17500</v>
      </c>
      <c r="F10" s="39">
        <v>16500</v>
      </c>
    </row>
    <row r="11" spans="1:12" x14ac:dyDescent="0.3">
      <c r="B11" s="39" t="s">
        <v>177</v>
      </c>
      <c r="C11" s="39" t="s">
        <v>92</v>
      </c>
      <c r="D11" s="39">
        <v>7900</v>
      </c>
      <c r="E11" s="39">
        <v>21000</v>
      </c>
      <c r="F11" s="39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22"/>
  <sheetViews>
    <sheetView zoomScale="130" zoomScaleNormal="130" workbookViewId="0">
      <pane ySplit="1" topLeftCell="A3" activePane="bottomLeft" state="frozen"/>
      <selection pane="bottomLeft" activeCell="I3" sqref="I3"/>
    </sheetView>
  </sheetViews>
  <sheetFormatPr defaultRowHeight="18.75" x14ac:dyDescent="0.3"/>
  <cols>
    <col min="2" max="2" width="14" customWidth="1"/>
    <col min="3" max="3" width="10.3984375" customWidth="1"/>
    <col min="10" max="10" width="13.296875" bestFit="1" customWidth="1"/>
  </cols>
  <sheetData>
    <row r="1" spans="1:10" s="2" customFormat="1" ht="32.65" customHeight="1" thickBot="1" x14ac:dyDescent="0.35">
      <c r="A1" s="36">
        <v>17</v>
      </c>
      <c r="B1" s="1" t="s">
        <v>180</v>
      </c>
    </row>
    <row r="2" spans="1:10" x14ac:dyDescent="0.3">
      <c r="A2" s="37" t="s">
        <v>2</v>
      </c>
    </row>
    <row r="3" spans="1:10" x14ac:dyDescent="0.3">
      <c r="B3" s="66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181</v>
      </c>
      <c r="I3" s="4">
        <f>MIN(D4:F11)</f>
        <v>6300</v>
      </c>
      <c r="J3" s="38"/>
    </row>
    <row r="4" spans="1:10" x14ac:dyDescent="0.3">
      <c r="B4" s="39" t="s">
        <v>142</v>
      </c>
      <c r="C4" s="4" t="s">
        <v>90</v>
      </c>
      <c r="D4" s="39">
        <v>15500</v>
      </c>
      <c r="E4" s="39">
        <v>29500</v>
      </c>
      <c r="F4" s="39">
        <v>22000</v>
      </c>
    </row>
    <row r="5" spans="1:10" x14ac:dyDescent="0.3">
      <c r="B5" s="39" t="s">
        <v>182</v>
      </c>
      <c r="C5" s="4" t="s">
        <v>92</v>
      </c>
      <c r="D5" s="39">
        <v>28500</v>
      </c>
      <c r="E5" s="39">
        <v>9400</v>
      </c>
      <c r="F5" s="39">
        <v>7200</v>
      </c>
    </row>
    <row r="6" spans="1:10" x14ac:dyDescent="0.3">
      <c r="B6" s="39" t="s">
        <v>183</v>
      </c>
      <c r="C6" s="4" t="s">
        <v>94</v>
      </c>
      <c r="D6" s="39">
        <v>8200</v>
      </c>
      <c r="E6" s="39">
        <v>99600</v>
      </c>
      <c r="F6" s="39">
        <v>30500</v>
      </c>
    </row>
    <row r="7" spans="1:10" x14ac:dyDescent="0.3">
      <c r="B7" s="39" t="s">
        <v>142</v>
      </c>
      <c r="C7" s="4" t="s">
        <v>90</v>
      </c>
      <c r="D7" s="39">
        <v>34000</v>
      </c>
      <c r="E7" s="39">
        <v>28000</v>
      </c>
      <c r="F7" s="39">
        <v>31000</v>
      </c>
    </row>
    <row r="8" spans="1:10" x14ac:dyDescent="0.3">
      <c r="B8" s="39" t="s">
        <v>182</v>
      </c>
      <c r="C8" s="4" t="s">
        <v>92</v>
      </c>
      <c r="D8" s="39">
        <v>26500</v>
      </c>
      <c r="E8" s="39">
        <v>8700</v>
      </c>
      <c r="F8" s="39">
        <v>9100</v>
      </c>
    </row>
    <row r="9" spans="1:10" x14ac:dyDescent="0.3">
      <c r="B9" s="39" t="s">
        <v>183</v>
      </c>
      <c r="C9" s="4" t="s">
        <v>94</v>
      </c>
      <c r="D9" s="39">
        <v>27000</v>
      </c>
      <c r="E9" s="39">
        <v>14000</v>
      </c>
      <c r="F9" s="39">
        <v>9800</v>
      </c>
    </row>
    <row r="10" spans="1:10" x14ac:dyDescent="0.3">
      <c r="B10" s="39" t="s">
        <v>142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0" x14ac:dyDescent="0.3">
      <c r="B11" s="39" t="s">
        <v>182</v>
      </c>
      <c r="C11" s="4" t="s">
        <v>92</v>
      </c>
      <c r="D11" s="39">
        <v>7900</v>
      </c>
      <c r="E11" s="39">
        <v>21000</v>
      </c>
      <c r="F11" s="39">
        <v>8600</v>
      </c>
    </row>
    <row r="14" spans="1:10" x14ac:dyDescent="0.3">
      <c r="B14" s="66" t="s">
        <v>83</v>
      </c>
      <c r="C14" s="3" t="s">
        <v>84</v>
      </c>
      <c r="D14" s="3" t="s">
        <v>85</v>
      </c>
      <c r="E14" s="3" t="s">
        <v>86</v>
      </c>
      <c r="F14" s="3" t="s">
        <v>87</v>
      </c>
      <c r="H14" s="142" t="s">
        <v>990</v>
      </c>
      <c r="I14">
        <f>MIN(D15:F22)</f>
        <v>6300</v>
      </c>
    </row>
    <row r="15" spans="1:10" x14ac:dyDescent="0.3">
      <c r="B15" s="39" t="s">
        <v>142</v>
      </c>
      <c r="C15" s="4" t="s">
        <v>90</v>
      </c>
      <c r="D15" s="39">
        <v>15500</v>
      </c>
      <c r="E15" s="39">
        <v>29500</v>
      </c>
      <c r="F15" s="39">
        <v>22000</v>
      </c>
    </row>
    <row r="16" spans="1:10" x14ac:dyDescent="0.3">
      <c r="B16" s="39" t="s">
        <v>182</v>
      </c>
      <c r="C16" s="4" t="s">
        <v>92</v>
      </c>
      <c r="D16" s="39">
        <v>28500</v>
      </c>
      <c r="E16" s="39">
        <v>9400</v>
      </c>
      <c r="F16" s="39">
        <v>7200</v>
      </c>
    </row>
    <row r="17" spans="2:6" x14ac:dyDescent="0.3">
      <c r="B17" s="39" t="s">
        <v>183</v>
      </c>
      <c r="C17" s="4" t="s">
        <v>94</v>
      </c>
      <c r="D17" s="39">
        <v>8200</v>
      </c>
      <c r="E17" s="39">
        <v>99600</v>
      </c>
      <c r="F17" s="39">
        <v>30500</v>
      </c>
    </row>
    <row r="18" spans="2:6" x14ac:dyDescent="0.3">
      <c r="B18" s="39" t="s">
        <v>142</v>
      </c>
      <c r="C18" s="4" t="s">
        <v>90</v>
      </c>
      <c r="D18" s="39">
        <v>34000</v>
      </c>
      <c r="E18" s="39">
        <v>28000</v>
      </c>
      <c r="F18" s="39">
        <v>31000</v>
      </c>
    </row>
    <row r="19" spans="2:6" x14ac:dyDescent="0.3">
      <c r="B19" s="39" t="s">
        <v>182</v>
      </c>
      <c r="C19" s="4" t="s">
        <v>92</v>
      </c>
      <c r="D19" s="39">
        <v>26500</v>
      </c>
      <c r="E19" s="39">
        <v>8700</v>
      </c>
      <c r="F19" s="39">
        <v>9100</v>
      </c>
    </row>
    <row r="20" spans="2:6" x14ac:dyDescent="0.3">
      <c r="B20" s="39" t="s">
        <v>183</v>
      </c>
      <c r="C20" s="4" t="s">
        <v>94</v>
      </c>
      <c r="D20" s="39">
        <v>27000</v>
      </c>
      <c r="E20" s="39">
        <v>14000</v>
      </c>
      <c r="F20" s="39">
        <v>9800</v>
      </c>
    </row>
    <row r="21" spans="2:6" x14ac:dyDescent="0.3">
      <c r="B21" s="39" t="s">
        <v>142</v>
      </c>
      <c r="C21" s="4" t="s">
        <v>90</v>
      </c>
      <c r="D21" s="39">
        <v>6300</v>
      </c>
      <c r="E21" s="39">
        <v>17500</v>
      </c>
      <c r="F21" s="39">
        <v>16500</v>
      </c>
    </row>
    <row r="22" spans="2:6" x14ac:dyDescent="0.3">
      <c r="B22" s="39" t="s">
        <v>182</v>
      </c>
      <c r="C22" s="4" t="s">
        <v>92</v>
      </c>
      <c r="D22" s="39">
        <v>7900</v>
      </c>
      <c r="E22" s="39">
        <v>21000</v>
      </c>
      <c r="F22" s="39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5.3984375" customWidth="1"/>
    <col min="11" max="11" width="13.296875" bestFit="1" customWidth="1"/>
  </cols>
  <sheetData>
    <row r="1" spans="1:11" s="2" customFormat="1" ht="32.65" customHeight="1" thickBot="1" x14ac:dyDescent="0.35">
      <c r="A1" s="36">
        <v>18</v>
      </c>
      <c r="B1" s="1" t="s">
        <v>184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185</v>
      </c>
      <c r="I3" s="4">
        <f>SMALL(D4:F11,1)</f>
        <v>6300</v>
      </c>
      <c r="K3" s="38"/>
    </row>
    <row r="4" spans="1:11" x14ac:dyDescent="0.3">
      <c r="B4" s="39" t="s">
        <v>186</v>
      </c>
      <c r="C4" s="4" t="s">
        <v>90</v>
      </c>
      <c r="D4" s="39">
        <v>15500</v>
      </c>
      <c r="E4" s="39">
        <v>29500</v>
      </c>
      <c r="F4" s="39">
        <v>22000</v>
      </c>
      <c r="H4" s="3" t="s">
        <v>187</v>
      </c>
      <c r="I4" s="4">
        <f>SMALL(D4:F11,2)</f>
        <v>7200</v>
      </c>
    </row>
    <row r="5" spans="1:11" x14ac:dyDescent="0.3">
      <c r="B5" s="39" t="s">
        <v>188</v>
      </c>
      <c r="C5" s="4" t="s">
        <v>92</v>
      </c>
      <c r="D5" s="39">
        <v>28500</v>
      </c>
      <c r="E5" s="39">
        <v>9400</v>
      </c>
      <c r="F5" s="39">
        <v>7200</v>
      </c>
      <c r="H5" s="3" t="s">
        <v>189</v>
      </c>
      <c r="I5" s="4">
        <f>SMALL(D4:F11,3)</f>
        <v>7900</v>
      </c>
    </row>
    <row r="6" spans="1:11" x14ac:dyDescent="0.3">
      <c r="B6" s="39" t="s">
        <v>190</v>
      </c>
      <c r="C6" s="4" t="s">
        <v>94</v>
      </c>
      <c r="D6" s="39">
        <v>8200</v>
      </c>
      <c r="E6" s="39">
        <v>99600</v>
      </c>
      <c r="F6" s="39">
        <v>30500</v>
      </c>
    </row>
    <row r="7" spans="1:11" x14ac:dyDescent="0.3">
      <c r="B7" s="39" t="s">
        <v>186</v>
      </c>
      <c r="C7" s="4" t="s">
        <v>90</v>
      </c>
      <c r="D7" s="39">
        <v>34000</v>
      </c>
      <c r="E7" s="39">
        <v>28000</v>
      </c>
      <c r="F7" s="39">
        <v>31000</v>
      </c>
    </row>
    <row r="8" spans="1:11" x14ac:dyDescent="0.3">
      <c r="B8" s="39" t="s">
        <v>188</v>
      </c>
      <c r="C8" s="4" t="s">
        <v>92</v>
      </c>
      <c r="D8" s="39">
        <v>26500</v>
      </c>
      <c r="E8" s="39">
        <v>8700</v>
      </c>
      <c r="F8" s="39">
        <v>9100</v>
      </c>
    </row>
    <row r="9" spans="1:11" x14ac:dyDescent="0.3">
      <c r="B9" s="39" t="s">
        <v>190</v>
      </c>
      <c r="C9" s="4" t="s">
        <v>94</v>
      </c>
      <c r="D9" s="39">
        <v>27000</v>
      </c>
      <c r="E9" s="39">
        <v>14000</v>
      </c>
      <c r="F9" s="39">
        <v>9800</v>
      </c>
    </row>
    <row r="10" spans="1:11" x14ac:dyDescent="0.3">
      <c r="B10" s="39" t="s">
        <v>186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1" x14ac:dyDescent="0.3">
      <c r="B11" s="39" t="s">
        <v>188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22"/>
  <sheetViews>
    <sheetView zoomScale="130" zoomScaleNormal="130" workbookViewId="0">
      <pane ySplit="1" topLeftCell="A14" activePane="bottomLeft" state="frozen"/>
      <selection pane="bottomLeft" activeCell="G17" sqref="G17"/>
    </sheetView>
  </sheetViews>
  <sheetFormatPr defaultRowHeight="18.75" x14ac:dyDescent="0.3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35">
      <c r="A1" s="36">
        <v>19</v>
      </c>
      <c r="B1" s="1" t="s">
        <v>191</v>
      </c>
    </row>
    <row r="2" spans="1:12" x14ac:dyDescent="0.3">
      <c r="A2" s="37" t="s">
        <v>2</v>
      </c>
    </row>
    <row r="3" spans="1:12" x14ac:dyDescent="0.3">
      <c r="B3" s="42" t="s">
        <v>192</v>
      </c>
      <c r="C3" s="42" t="s">
        <v>193</v>
      </c>
      <c r="D3" s="42" t="s">
        <v>194</v>
      </c>
      <c r="E3" s="42" t="s">
        <v>195</v>
      </c>
      <c r="F3" s="3" t="s">
        <v>196</v>
      </c>
      <c r="G3" s="3" t="s">
        <v>197</v>
      </c>
      <c r="I3" s="38"/>
      <c r="J3" s="38"/>
      <c r="K3" s="38"/>
      <c r="L3" s="38"/>
    </row>
    <row r="4" spans="1:12" x14ac:dyDescent="0.3">
      <c r="B4" s="39" t="s">
        <v>198</v>
      </c>
      <c r="C4" s="39">
        <v>58</v>
      </c>
      <c r="D4" s="39">
        <v>49</v>
      </c>
      <c r="E4" s="39">
        <v>47</v>
      </c>
      <c r="F4" s="43">
        <f t="shared" ref="F4:F11" si="0">SUM(C4:E4)</f>
        <v>154</v>
      </c>
      <c r="G4" s="4">
        <f t="shared" ref="G4:G11" si="1">RANK(F4,$F$4:$F$11,-1)</f>
        <v>1</v>
      </c>
    </row>
    <row r="5" spans="1:12" x14ac:dyDescent="0.3">
      <c r="B5" s="39" t="s">
        <v>199</v>
      </c>
      <c r="C5" s="39">
        <v>42</v>
      </c>
      <c r="D5" s="39">
        <v>60</v>
      </c>
      <c r="E5" s="39">
        <v>72</v>
      </c>
      <c r="F5" s="43">
        <f t="shared" si="0"/>
        <v>174</v>
      </c>
      <c r="G5" s="4">
        <f t="shared" si="1"/>
        <v>3</v>
      </c>
    </row>
    <row r="6" spans="1:12" x14ac:dyDescent="0.3">
      <c r="B6" s="39" t="s">
        <v>200</v>
      </c>
      <c r="C6" s="39">
        <v>67</v>
      </c>
      <c r="D6" s="39">
        <v>59</v>
      </c>
      <c r="E6" s="39">
        <v>35</v>
      </c>
      <c r="F6" s="43">
        <f t="shared" si="0"/>
        <v>161</v>
      </c>
      <c r="G6" s="4">
        <f t="shared" si="1"/>
        <v>2</v>
      </c>
    </row>
    <row r="7" spans="1:12" x14ac:dyDescent="0.3">
      <c r="B7" s="39" t="s">
        <v>201</v>
      </c>
      <c r="C7" s="39">
        <v>54</v>
      </c>
      <c r="D7" s="39">
        <v>53</v>
      </c>
      <c r="E7" s="39">
        <v>70</v>
      </c>
      <c r="F7" s="43">
        <f t="shared" si="0"/>
        <v>177</v>
      </c>
      <c r="G7" s="4">
        <f t="shared" si="1"/>
        <v>4</v>
      </c>
    </row>
    <row r="8" spans="1:12" x14ac:dyDescent="0.3">
      <c r="B8" s="39" t="s">
        <v>202</v>
      </c>
      <c r="C8" s="39">
        <v>81</v>
      </c>
      <c r="D8" s="39">
        <v>61</v>
      </c>
      <c r="E8" s="39">
        <v>42</v>
      </c>
      <c r="F8" s="43">
        <f t="shared" si="0"/>
        <v>184</v>
      </c>
      <c r="G8" s="4">
        <f t="shared" si="1"/>
        <v>5</v>
      </c>
    </row>
    <row r="9" spans="1:12" x14ac:dyDescent="0.3">
      <c r="B9" s="39" t="s">
        <v>203</v>
      </c>
      <c r="C9" s="39">
        <v>51</v>
      </c>
      <c r="D9" s="39">
        <v>92</v>
      </c>
      <c r="E9" s="39">
        <v>66</v>
      </c>
      <c r="F9" s="43">
        <f t="shared" si="0"/>
        <v>209</v>
      </c>
      <c r="G9" s="4">
        <f t="shared" si="1"/>
        <v>6</v>
      </c>
    </row>
    <row r="10" spans="1:12" x14ac:dyDescent="0.3">
      <c r="B10" s="39" t="s">
        <v>204</v>
      </c>
      <c r="C10" s="39">
        <v>78</v>
      </c>
      <c r="D10" s="39">
        <v>87</v>
      </c>
      <c r="E10" s="39">
        <v>60</v>
      </c>
      <c r="F10" s="43">
        <f t="shared" si="0"/>
        <v>225</v>
      </c>
      <c r="G10" s="4">
        <f t="shared" si="1"/>
        <v>7</v>
      </c>
    </row>
    <row r="11" spans="1:12" x14ac:dyDescent="0.3">
      <c r="B11" s="39" t="s">
        <v>205</v>
      </c>
      <c r="C11" s="39">
        <v>89</v>
      </c>
      <c r="D11" s="39">
        <v>71</v>
      </c>
      <c r="E11" s="39">
        <v>85</v>
      </c>
      <c r="F11" s="43">
        <f t="shared" si="0"/>
        <v>245</v>
      </c>
      <c r="G11" s="4">
        <f t="shared" si="1"/>
        <v>8</v>
      </c>
    </row>
    <row r="14" spans="1:12" x14ac:dyDescent="0.3">
      <c r="B14" s="42" t="s">
        <v>192</v>
      </c>
      <c r="C14" s="42" t="s">
        <v>193</v>
      </c>
      <c r="D14" s="42" t="s">
        <v>194</v>
      </c>
      <c r="E14" s="42" t="s">
        <v>195</v>
      </c>
      <c r="F14" s="3" t="s">
        <v>196</v>
      </c>
      <c r="G14" s="143" t="s">
        <v>197</v>
      </c>
    </row>
    <row r="15" spans="1:12" x14ac:dyDescent="0.3">
      <c r="B15" s="39" t="s">
        <v>198</v>
      </c>
      <c r="C15" s="39">
        <v>58</v>
      </c>
      <c r="D15" s="39">
        <v>49</v>
      </c>
      <c r="E15" s="39">
        <v>47</v>
      </c>
      <c r="F15" s="43">
        <f t="shared" ref="F15:F22" si="2">SUM(C15:E15)</f>
        <v>154</v>
      </c>
      <c r="G15" s="143">
        <f>RANK($F$15,F15:F22)</f>
        <v>8</v>
      </c>
    </row>
    <row r="16" spans="1:12" x14ac:dyDescent="0.3">
      <c r="B16" s="39" t="s">
        <v>199</v>
      </c>
      <c r="C16" s="39">
        <v>42</v>
      </c>
      <c r="D16" s="39">
        <v>60</v>
      </c>
      <c r="E16" s="39">
        <v>72</v>
      </c>
      <c r="F16" s="43">
        <f t="shared" si="2"/>
        <v>174</v>
      </c>
      <c r="G16">
        <f>RANK($F$16,F16:F22)</f>
        <v>6</v>
      </c>
    </row>
    <row r="17" spans="2:6" x14ac:dyDescent="0.3">
      <c r="B17" s="39" t="s">
        <v>200</v>
      </c>
      <c r="C17" s="39">
        <v>67</v>
      </c>
      <c r="D17" s="39">
        <v>59</v>
      </c>
      <c r="E17" s="39">
        <v>35</v>
      </c>
      <c r="F17" s="43">
        <f t="shared" si="2"/>
        <v>161</v>
      </c>
    </row>
    <row r="18" spans="2:6" x14ac:dyDescent="0.3">
      <c r="B18" s="39" t="s">
        <v>201</v>
      </c>
      <c r="C18" s="39">
        <v>54</v>
      </c>
      <c r="D18" s="39">
        <v>53</v>
      </c>
      <c r="E18" s="39">
        <v>70</v>
      </c>
      <c r="F18" s="43">
        <f t="shared" si="2"/>
        <v>177</v>
      </c>
    </row>
    <row r="19" spans="2:6" x14ac:dyDescent="0.3">
      <c r="B19" s="39" t="s">
        <v>202</v>
      </c>
      <c r="C19" s="39">
        <v>81</v>
      </c>
      <c r="D19" s="39">
        <v>61</v>
      </c>
      <c r="E19" s="39">
        <v>42</v>
      </c>
      <c r="F19" s="43">
        <f t="shared" si="2"/>
        <v>184</v>
      </c>
    </row>
    <row r="20" spans="2:6" x14ac:dyDescent="0.3">
      <c r="B20" s="39" t="s">
        <v>203</v>
      </c>
      <c r="C20" s="39">
        <v>51</v>
      </c>
      <c r="D20" s="39">
        <v>92</v>
      </c>
      <c r="E20" s="39">
        <v>66</v>
      </c>
      <c r="F20" s="43">
        <f t="shared" si="2"/>
        <v>209</v>
      </c>
    </row>
    <row r="21" spans="2:6" x14ac:dyDescent="0.3">
      <c r="B21" s="39" t="s">
        <v>204</v>
      </c>
      <c r="C21" s="39">
        <v>78</v>
      </c>
      <c r="D21" s="39">
        <v>87</v>
      </c>
      <c r="E21" s="39">
        <v>60</v>
      </c>
      <c r="F21" s="43">
        <f t="shared" si="2"/>
        <v>225</v>
      </c>
    </row>
    <row r="22" spans="2:6" x14ac:dyDescent="0.3">
      <c r="B22" s="39" t="s">
        <v>205</v>
      </c>
      <c r="C22" s="39">
        <v>89</v>
      </c>
      <c r="D22" s="39">
        <v>71</v>
      </c>
      <c r="E22" s="39">
        <v>85</v>
      </c>
      <c r="F22" s="43">
        <f t="shared" si="2"/>
        <v>245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22"/>
  <sheetViews>
    <sheetView zoomScale="130" zoomScaleNormal="130" workbookViewId="0">
      <pane ySplit="1" topLeftCell="A5" activePane="bottomLeft" state="frozen"/>
      <selection pane="bottomLeft" activeCell="E16" sqref="E16"/>
    </sheetView>
  </sheetViews>
  <sheetFormatPr defaultRowHeight="18.75" x14ac:dyDescent="0.3"/>
  <cols>
    <col min="2" max="2" width="14" customWidth="1"/>
    <col min="3" max="3" width="11.59765625" customWidth="1"/>
  </cols>
  <sheetData>
    <row r="1" spans="1:5" s="2" customFormat="1" ht="32.65" customHeight="1" thickBot="1" x14ac:dyDescent="0.35">
      <c r="A1" s="36">
        <v>20</v>
      </c>
      <c r="B1" s="1" t="s">
        <v>206</v>
      </c>
    </row>
    <row r="2" spans="1:5" x14ac:dyDescent="0.3">
      <c r="A2" s="37" t="s">
        <v>2</v>
      </c>
    </row>
    <row r="3" spans="1:5" x14ac:dyDescent="0.3">
      <c r="B3" s="3" t="s">
        <v>192</v>
      </c>
      <c r="C3" s="3" t="s">
        <v>196</v>
      </c>
    </row>
    <row r="4" spans="1:5" x14ac:dyDescent="0.3">
      <c r="B4" s="52" t="s">
        <v>198</v>
      </c>
      <c r="C4" s="39">
        <v>154</v>
      </c>
      <c r="E4">
        <f>COUNT(C4:C11)</f>
        <v>6</v>
      </c>
    </row>
    <row r="5" spans="1:5" x14ac:dyDescent="0.3">
      <c r="B5" s="52" t="s">
        <v>199</v>
      </c>
      <c r="C5" s="39">
        <v>174</v>
      </c>
    </row>
    <row r="6" spans="1:5" x14ac:dyDescent="0.3">
      <c r="B6" s="52" t="s">
        <v>200</v>
      </c>
      <c r="C6" s="39" t="s">
        <v>207</v>
      </c>
    </row>
    <row r="7" spans="1:5" x14ac:dyDescent="0.3">
      <c r="B7" s="52" t="s">
        <v>201</v>
      </c>
      <c r="C7" s="39">
        <v>177</v>
      </c>
    </row>
    <row r="8" spans="1:5" x14ac:dyDescent="0.3">
      <c r="B8" s="52" t="s">
        <v>202</v>
      </c>
      <c r="C8" s="39" t="s">
        <v>207</v>
      </c>
    </row>
    <row r="9" spans="1:5" x14ac:dyDescent="0.3">
      <c r="B9" s="52" t="s">
        <v>203</v>
      </c>
      <c r="C9" s="39">
        <v>209</v>
      </c>
    </row>
    <row r="10" spans="1:5" x14ac:dyDescent="0.3">
      <c r="B10" s="52" t="s">
        <v>204</v>
      </c>
      <c r="C10" s="39">
        <v>225</v>
      </c>
    </row>
    <row r="11" spans="1:5" x14ac:dyDescent="0.3">
      <c r="B11" s="52" t="s">
        <v>205</v>
      </c>
      <c r="C11" s="39">
        <v>245</v>
      </c>
    </row>
    <row r="14" spans="1:5" x14ac:dyDescent="0.3">
      <c r="B14" s="3" t="s">
        <v>192</v>
      </c>
      <c r="C14" s="3" t="s">
        <v>196</v>
      </c>
    </row>
    <row r="15" spans="1:5" x14ac:dyDescent="0.3">
      <c r="B15" s="52" t="s">
        <v>198</v>
      </c>
      <c r="C15" s="39">
        <v>154</v>
      </c>
      <c r="E15">
        <f>COUNT(C15:C22)</f>
        <v>6</v>
      </c>
    </row>
    <row r="16" spans="1:5" x14ac:dyDescent="0.3">
      <c r="B16" s="52" t="s">
        <v>199</v>
      </c>
      <c r="C16" s="39">
        <v>174</v>
      </c>
    </row>
    <row r="17" spans="2:3" x14ac:dyDescent="0.3">
      <c r="B17" s="52" t="s">
        <v>200</v>
      </c>
      <c r="C17" s="39" t="s">
        <v>207</v>
      </c>
    </row>
    <row r="18" spans="2:3" x14ac:dyDescent="0.3">
      <c r="B18" s="52" t="s">
        <v>201</v>
      </c>
      <c r="C18" s="39">
        <v>177</v>
      </c>
    </row>
    <row r="19" spans="2:3" x14ac:dyDescent="0.3">
      <c r="B19" s="52" t="s">
        <v>202</v>
      </c>
      <c r="C19" s="39" t="s">
        <v>207</v>
      </c>
    </row>
    <row r="20" spans="2:3" x14ac:dyDescent="0.3">
      <c r="B20" s="52" t="s">
        <v>203</v>
      </c>
      <c r="C20" s="39">
        <v>209</v>
      </c>
    </row>
    <row r="21" spans="2:3" x14ac:dyDescent="0.3">
      <c r="B21" s="52" t="s">
        <v>204</v>
      </c>
      <c r="C21" s="39">
        <v>225</v>
      </c>
    </row>
    <row r="22" spans="2:3" x14ac:dyDescent="0.3">
      <c r="B22" s="52" t="s">
        <v>205</v>
      </c>
      <c r="C22" s="39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21"/>
  <sheetViews>
    <sheetView zoomScale="130" zoomScaleNormal="130" workbookViewId="0">
      <pane ySplit="1" topLeftCell="A4" activePane="bottomLeft" state="frozen"/>
      <selection pane="bottomLeft" activeCell="D15" sqref="D15"/>
    </sheetView>
  </sheetViews>
  <sheetFormatPr defaultRowHeight="18.75" x14ac:dyDescent="0.3"/>
  <cols>
    <col min="2" max="2" width="14" customWidth="1"/>
  </cols>
  <sheetData>
    <row r="1" spans="1:4" s="2" customFormat="1" ht="32.65" customHeight="1" thickBot="1" x14ac:dyDescent="0.35">
      <c r="A1" s="36">
        <v>21</v>
      </c>
      <c r="B1" s="1" t="s">
        <v>208</v>
      </c>
    </row>
    <row r="2" spans="1:4" x14ac:dyDescent="0.3">
      <c r="A2" s="37" t="s">
        <v>2</v>
      </c>
    </row>
    <row r="3" spans="1:4" x14ac:dyDescent="0.3">
      <c r="B3" s="42" t="s">
        <v>209</v>
      </c>
    </row>
    <row r="4" spans="1:4" x14ac:dyDescent="0.3">
      <c r="B4" s="39">
        <v>154</v>
      </c>
      <c r="D4">
        <f>COUNTA(B4:B11)</f>
        <v>6</v>
      </c>
    </row>
    <row r="5" spans="1:4" x14ac:dyDescent="0.3">
      <c r="B5" s="39">
        <v>174</v>
      </c>
    </row>
    <row r="6" spans="1:4" x14ac:dyDescent="0.3">
      <c r="B6" s="39" t="s">
        <v>210</v>
      </c>
    </row>
    <row r="7" spans="1:4" x14ac:dyDescent="0.3">
      <c r="B7" s="39">
        <v>177</v>
      </c>
    </row>
    <row r="8" spans="1:4" x14ac:dyDescent="0.3">
      <c r="B8" s="39" t="e">
        <v>#N/A</v>
      </c>
    </row>
    <row r="9" spans="1:4" x14ac:dyDescent="0.3">
      <c r="B9" s="39"/>
    </row>
    <row r="10" spans="1:4" x14ac:dyDescent="0.3">
      <c r="B10" s="39">
        <v>225</v>
      </c>
    </row>
    <row r="11" spans="1:4" x14ac:dyDescent="0.3">
      <c r="B11" s="39"/>
    </row>
    <row r="13" spans="1:4" x14ac:dyDescent="0.3">
      <c r="B13" s="42" t="s">
        <v>209</v>
      </c>
    </row>
    <row r="14" spans="1:4" x14ac:dyDescent="0.3">
      <c r="B14" s="39">
        <v>154</v>
      </c>
      <c r="D14">
        <f>COUNTA(B14:B20)</f>
        <v>6</v>
      </c>
    </row>
    <row r="15" spans="1:4" x14ac:dyDescent="0.3">
      <c r="B15" s="39">
        <v>174</v>
      </c>
    </row>
    <row r="16" spans="1:4" x14ac:dyDescent="0.3">
      <c r="B16" s="39" t="s">
        <v>210</v>
      </c>
    </row>
    <row r="17" spans="2:2" x14ac:dyDescent="0.3">
      <c r="B17" s="39">
        <v>177</v>
      </c>
    </row>
    <row r="18" spans="2:2" x14ac:dyDescent="0.3">
      <c r="B18" s="39" t="e">
        <v>#N/A</v>
      </c>
    </row>
    <row r="19" spans="2:2" x14ac:dyDescent="0.3">
      <c r="B19" s="39"/>
    </row>
    <row r="20" spans="2:2" x14ac:dyDescent="0.3">
      <c r="B20" s="39">
        <v>225</v>
      </c>
    </row>
    <row r="21" spans="2:2" x14ac:dyDescent="0.3">
      <c r="B21" s="39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24"/>
  <sheetViews>
    <sheetView zoomScale="130" zoomScaleNormal="130" workbookViewId="0">
      <pane ySplit="1" topLeftCell="A11" activePane="bottomLeft" state="frozen"/>
      <selection pane="bottomLeft" activeCell="E18" sqref="E18"/>
    </sheetView>
  </sheetViews>
  <sheetFormatPr defaultRowHeight="18.75" x14ac:dyDescent="0.3"/>
  <cols>
    <col min="2" max="2" width="14" customWidth="1"/>
    <col min="3" max="3" width="11.59765625" customWidth="1"/>
  </cols>
  <sheetData>
    <row r="1" spans="1:7" s="2" customFormat="1" ht="32.65" customHeight="1" thickBot="1" x14ac:dyDescent="0.35">
      <c r="A1" s="36">
        <v>22</v>
      </c>
      <c r="B1" s="1" t="s">
        <v>211</v>
      </c>
    </row>
    <row r="2" spans="1:7" x14ac:dyDescent="0.3">
      <c r="A2" s="37" t="s">
        <v>2</v>
      </c>
    </row>
    <row r="3" spans="1:7" x14ac:dyDescent="0.3">
      <c r="B3" s="3" t="s">
        <v>192</v>
      </c>
      <c r="C3" s="42" t="s">
        <v>196</v>
      </c>
      <c r="E3" t="s">
        <v>212</v>
      </c>
    </row>
    <row r="4" spans="1:7" x14ac:dyDescent="0.3">
      <c r="B4" s="52" t="s">
        <v>198</v>
      </c>
      <c r="C4" s="39">
        <v>154</v>
      </c>
      <c r="E4">
        <f>COUNTBLANK(C4:C11)</f>
        <v>2</v>
      </c>
    </row>
    <row r="5" spans="1:7" x14ac:dyDescent="0.3">
      <c r="B5" s="52" t="s">
        <v>199</v>
      </c>
      <c r="C5" s="39">
        <v>174</v>
      </c>
      <c r="G5">
        <v>154</v>
      </c>
    </row>
    <row r="6" spans="1:7" x14ac:dyDescent="0.3">
      <c r="B6" s="52" t="s">
        <v>200</v>
      </c>
      <c r="C6" s="39"/>
      <c r="G6">
        <v>174</v>
      </c>
    </row>
    <row r="7" spans="1:7" x14ac:dyDescent="0.3">
      <c r="B7" s="52" t="s">
        <v>201</v>
      </c>
      <c r="C7" s="39">
        <v>177</v>
      </c>
      <c r="G7">
        <v>161</v>
      </c>
    </row>
    <row r="8" spans="1:7" x14ac:dyDescent="0.3">
      <c r="B8" s="52" t="s">
        <v>202</v>
      </c>
      <c r="C8" s="39"/>
      <c r="G8">
        <v>177</v>
      </c>
    </row>
    <row r="9" spans="1:7" x14ac:dyDescent="0.3">
      <c r="B9" s="52" t="s">
        <v>203</v>
      </c>
      <c r="C9" s="39">
        <v>209</v>
      </c>
      <c r="G9">
        <v>184</v>
      </c>
    </row>
    <row r="10" spans="1:7" x14ac:dyDescent="0.3">
      <c r="B10" s="52" t="s">
        <v>204</v>
      </c>
      <c r="C10" s="39">
        <v>225</v>
      </c>
      <c r="G10">
        <v>209</v>
      </c>
    </row>
    <row r="11" spans="1:7" x14ac:dyDescent="0.3">
      <c r="B11" s="52" t="s">
        <v>205</v>
      </c>
      <c r="C11" s="39">
        <v>245</v>
      </c>
      <c r="G11">
        <v>225</v>
      </c>
    </row>
    <row r="12" spans="1:7" x14ac:dyDescent="0.3">
      <c r="G12">
        <v>245</v>
      </c>
    </row>
    <row r="16" spans="1:7" x14ac:dyDescent="0.3">
      <c r="B16" s="3" t="s">
        <v>192</v>
      </c>
      <c r="C16" s="42" t="s">
        <v>196</v>
      </c>
      <c r="E16" t="s">
        <v>991</v>
      </c>
    </row>
    <row r="17" spans="2:5" x14ac:dyDescent="0.3">
      <c r="B17" s="52" t="s">
        <v>198</v>
      </c>
      <c r="C17" s="39">
        <v>154</v>
      </c>
      <c r="E17">
        <f>COUNTBLANK(C17:C24)</f>
        <v>2</v>
      </c>
    </row>
    <row r="18" spans="2:5" x14ac:dyDescent="0.3">
      <c r="B18" s="52" t="s">
        <v>199</v>
      </c>
      <c r="C18" s="39">
        <v>174</v>
      </c>
    </row>
    <row r="19" spans="2:5" x14ac:dyDescent="0.3">
      <c r="B19" s="52" t="s">
        <v>200</v>
      </c>
      <c r="C19" s="39"/>
    </row>
    <row r="20" spans="2:5" x14ac:dyDescent="0.3">
      <c r="B20" s="52" t="s">
        <v>201</v>
      </c>
      <c r="C20" s="39">
        <v>177</v>
      </c>
    </row>
    <row r="21" spans="2:5" x14ac:dyDescent="0.3">
      <c r="B21" s="52" t="s">
        <v>202</v>
      </c>
      <c r="C21" s="39"/>
    </row>
    <row r="22" spans="2:5" x14ac:dyDescent="0.3">
      <c r="B22" s="52" t="s">
        <v>203</v>
      </c>
      <c r="C22" s="39">
        <v>209</v>
      </c>
    </row>
    <row r="23" spans="2:5" x14ac:dyDescent="0.3">
      <c r="B23" s="52" t="s">
        <v>204</v>
      </c>
      <c r="C23" s="39">
        <v>225</v>
      </c>
    </row>
    <row r="24" spans="2:5" x14ac:dyDescent="0.3">
      <c r="B24" s="52" t="s">
        <v>205</v>
      </c>
      <c r="C24" s="39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17" activePane="bottomLeft" state="frozen"/>
      <selection pane="bottomLeft" activeCell="G19" sqref="G19"/>
    </sheetView>
  </sheetViews>
  <sheetFormatPr defaultRowHeight="18.75" x14ac:dyDescent="0.3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35">
      <c r="A1" s="36">
        <v>23</v>
      </c>
      <c r="B1" s="1" t="s">
        <v>213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40" t="s">
        <v>96</v>
      </c>
      <c r="F3" s="42" t="s">
        <v>83</v>
      </c>
      <c r="G3" s="3" t="s">
        <v>214</v>
      </c>
      <c r="H3" s="38"/>
      <c r="I3" s="38"/>
      <c r="J3" s="38"/>
    </row>
    <row r="4" spans="1:10" x14ac:dyDescent="0.3">
      <c r="B4" s="39" t="s">
        <v>215</v>
      </c>
      <c r="C4" s="39" t="s">
        <v>90</v>
      </c>
      <c r="D4" s="39">
        <v>19500</v>
      </c>
      <c r="F4" s="39" t="s">
        <v>216</v>
      </c>
      <c r="G4" s="43">
        <f>COUNTIF(B4:B13,F4)</f>
        <v>2</v>
      </c>
    </row>
    <row r="5" spans="1:10" x14ac:dyDescent="0.3">
      <c r="B5" s="39" t="s">
        <v>217</v>
      </c>
      <c r="C5" s="39" t="s">
        <v>92</v>
      </c>
      <c r="D5" s="39">
        <v>6200</v>
      </c>
    </row>
    <row r="6" spans="1:10" x14ac:dyDescent="0.3">
      <c r="B6" s="39" t="s">
        <v>218</v>
      </c>
      <c r="C6" s="39" t="s">
        <v>94</v>
      </c>
      <c r="D6" s="39">
        <v>31500</v>
      </c>
    </row>
    <row r="7" spans="1:10" x14ac:dyDescent="0.3">
      <c r="B7" s="39" t="s">
        <v>219</v>
      </c>
      <c r="C7" s="39" t="s">
        <v>90</v>
      </c>
      <c r="D7" s="39">
        <v>28500</v>
      </c>
      <c r="F7" s="3" t="s">
        <v>84</v>
      </c>
      <c r="G7" s="3" t="s">
        <v>214</v>
      </c>
    </row>
    <row r="8" spans="1:10" x14ac:dyDescent="0.3">
      <c r="B8" s="39" t="s">
        <v>220</v>
      </c>
      <c r="C8" s="39" t="s">
        <v>92</v>
      </c>
      <c r="D8" s="39">
        <v>9400</v>
      </c>
      <c r="F8" s="4" t="s">
        <v>221</v>
      </c>
      <c r="G8" s="4">
        <f>COUNTIF(C4:C13,F8)</f>
        <v>4</v>
      </c>
    </row>
    <row r="9" spans="1:10" x14ac:dyDescent="0.3">
      <c r="B9" s="39" t="s">
        <v>222</v>
      </c>
      <c r="C9" s="39" t="s">
        <v>94</v>
      </c>
      <c r="D9" s="39">
        <v>7200</v>
      </c>
    </row>
    <row r="10" spans="1:10" x14ac:dyDescent="0.3">
      <c r="B10" s="39" t="s">
        <v>223</v>
      </c>
      <c r="C10" s="39" t="s">
        <v>90</v>
      </c>
      <c r="D10" s="39">
        <v>27500</v>
      </c>
    </row>
    <row r="11" spans="1:10" x14ac:dyDescent="0.3">
      <c r="B11" s="39" t="s">
        <v>224</v>
      </c>
      <c r="C11" s="39" t="s">
        <v>92</v>
      </c>
      <c r="D11" s="39">
        <v>6400</v>
      </c>
    </row>
    <row r="12" spans="1:10" x14ac:dyDescent="0.3">
      <c r="B12" s="39" t="s">
        <v>225</v>
      </c>
      <c r="C12" s="39" t="s">
        <v>94</v>
      </c>
      <c r="D12" s="39">
        <v>5900</v>
      </c>
    </row>
    <row r="13" spans="1:10" x14ac:dyDescent="0.3">
      <c r="B13" s="39" t="s">
        <v>219</v>
      </c>
      <c r="C13" s="39" t="s">
        <v>90</v>
      </c>
      <c r="D13" s="39">
        <v>25500</v>
      </c>
    </row>
    <row r="15" spans="1:10" x14ac:dyDescent="0.3">
      <c r="A15" s="37" t="s">
        <v>2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214</v>
      </c>
      <c r="H17" s="38"/>
      <c r="I17" s="38"/>
    </row>
    <row r="18" spans="2:9" x14ac:dyDescent="0.3">
      <c r="B18" s="39" t="s">
        <v>226</v>
      </c>
      <c r="C18" s="39" t="s">
        <v>90</v>
      </c>
      <c r="D18" s="39">
        <v>34000</v>
      </c>
      <c r="F18" s="4" t="s">
        <v>226</v>
      </c>
      <c r="G18" s="4">
        <f>COUNTIF(B18:B27,F18)</f>
        <v>1</v>
      </c>
    </row>
    <row r="19" spans="2:9" x14ac:dyDescent="0.3">
      <c r="B19" s="39" t="s">
        <v>227</v>
      </c>
      <c r="C19" s="39" t="s">
        <v>92</v>
      </c>
      <c r="D19" s="39">
        <v>5000</v>
      </c>
    </row>
    <row r="20" spans="2:9" x14ac:dyDescent="0.3">
      <c r="B20" s="39" t="s">
        <v>228</v>
      </c>
      <c r="C20" s="39" t="s">
        <v>94</v>
      </c>
      <c r="D20" s="39">
        <v>76000</v>
      </c>
    </row>
    <row r="21" spans="2:9" x14ac:dyDescent="0.3">
      <c r="B21" s="39" t="s">
        <v>229</v>
      </c>
      <c r="C21" s="39" t="s">
        <v>90</v>
      </c>
      <c r="D21" s="39">
        <v>45000</v>
      </c>
    </row>
    <row r="22" spans="2:9" x14ac:dyDescent="0.3">
      <c r="B22" s="39" t="s">
        <v>230</v>
      </c>
      <c r="C22" s="39" t="s">
        <v>92</v>
      </c>
      <c r="D22" s="39">
        <v>8700</v>
      </c>
    </row>
    <row r="23" spans="2:9" x14ac:dyDescent="0.3">
      <c r="B23" s="39" t="s">
        <v>228</v>
      </c>
      <c r="C23" s="39" t="s">
        <v>94</v>
      </c>
      <c r="D23" s="39">
        <v>5600</v>
      </c>
    </row>
    <row r="24" spans="2:9" x14ac:dyDescent="0.3">
      <c r="B24" s="39" t="s">
        <v>231</v>
      </c>
      <c r="C24" s="39" t="s">
        <v>90</v>
      </c>
      <c r="D24" s="39">
        <v>45000</v>
      </c>
    </row>
    <row r="25" spans="2:9" x14ac:dyDescent="0.3">
      <c r="B25" s="39" t="s">
        <v>232</v>
      </c>
      <c r="C25" s="39" t="s">
        <v>92</v>
      </c>
      <c r="D25" s="39">
        <v>5600</v>
      </c>
    </row>
    <row r="26" spans="2:9" x14ac:dyDescent="0.3">
      <c r="B26" s="39" t="s">
        <v>228</v>
      </c>
      <c r="C26" s="39" t="s">
        <v>94</v>
      </c>
      <c r="D26" s="39">
        <v>5600</v>
      </c>
    </row>
    <row r="27" spans="2:9" x14ac:dyDescent="0.3">
      <c r="B27" s="39" t="s">
        <v>233</v>
      </c>
      <c r="C27" s="39" t="s">
        <v>90</v>
      </c>
      <c r="D27" s="39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11" activePane="bottomLeft" state="frozen"/>
      <selection pane="bottomLeft" activeCell="H18" sqref="H18"/>
    </sheetView>
  </sheetViews>
  <sheetFormatPr defaultRowHeight="18.75" x14ac:dyDescent="0.3"/>
  <cols>
    <col min="2" max="2" width="14" customWidth="1"/>
    <col min="6" max="7" width="14" customWidth="1"/>
    <col min="8" max="8" width="12.59765625" customWidth="1"/>
    <col min="9" max="9" width="13.296875" bestFit="1" customWidth="1"/>
  </cols>
  <sheetData>
    <row r="1" spans="1:11" s="2" customFormat="1" ht="32.65" customHeight="1" thickBot="1" x14ac:dyDescent="0.35">
      <c r="A1" s="36">
        <v>24</v>
      </c>
      <c r="B1" s="1" t="s">
        <v>234</v>
      </c>
    </row>
    <row r="2" spans="1:11" x14ac:dyDescent="0.3">
      <c r="A2" s="37" t="s">
        <v>2</v>
      </c>
    </row>
    <row r="3" spans="1:11" x14ac:dyDescent="0.3">
      <c r="B3" s="40" t="s">
        <v>83</v>
      </c>
      <c r="C3" s="40" t="s">
        <v>84</v>
      </c>
      <c r="D3" s="40" t="s">
        <v>96</v>
      </c>
      <c r="F3" s="3" t="s">
        <v>83</v>
      </c>
      <c r="G3" s="3" t="s">
        <v>84</v>
      </c>
      <c r="H3" s="3" t="s">
        <v>214</v>
      </c>
      <c r="I3" s="38"/>
      <c r="J3" s="38"/>
      <c r="K3" s="38"/>
    </row>
    <row r="4" spans="1:11" x14ac:dyDescent="0.3">
      <c r="B4" s="39" t="s">
        <v>235</v>
      </c>
      <c r="C4" s="39" t="s">
        <v>90</v>
      </c>
      <c r="D4" s="39">
        <v>19500</v>
      </c>
      <c r="F4" s="4" t="s">
        <v>236</v>
      </c>
      <c r="G4" s="4" t="s">
        <v>221</v>
      </c>
      <c r="H4" s="4">
        <f>COUNTIFS(B4:B13,F4,C4:C13,G4)</f>
        <v>4</v>
      </c>
    </row>
    <row r="5" spans="1:11" x14ac:dyDescent="0.3">
      <c r="B5" s="39" t="s">
        <v>237</v>
      </c>
      <c r="C5" s="39" t="s">
        <v>92</v>
      </c>
      <c r="D5" s="39">
        <v>6200</v>
      </c>
    </row>
    <row r="6" spans="1:11" x14ac:dyDescent="0.3">
      <c r="B6" s="39" t="s">
        <v>238</v>
      </c>
      <c r="C6" s="39" t="s">
        <v>94</v>
      </c>
      <c r="D6" s="39">
        <v>31500</v>
      </c>
    </row>
    <row r="7" spans="1:11" x14ac:dyDescent="0.3">
      <c r="B7" s="39" t="s">
        <v>235</v>
      </c>
      <c r="C7" s="39" t="s">
        <v>90</v>
      </c>
      <c r="D7" s="39">
        <v>28500</v>
      </c>
    </row>
    <row r="8" spans="1:11" x14ac:dyDescent="0.3">
      <c r="B8" s="39" t="s">
        <v>237</v>
      </c>
      <c r="C8" s="39" t="s">
        <v>92</v>
      </c>
      <c r="D8" s="39">
        <v>9400</v>
      </c>
    </row>
    <row r="9" spans="1:11" x14ac:dyDescent="0.3">
      <c r="B9" s="39" t="s">
        <v>238</v>
      </c>
      <c r="C9" s="39" t="s">
        <v>94</v>
      </c>
      <c r="D9" s="39">
        <v>7200</v>
      </c>
    </row>
    <row r="10" spans="1:11" x14ac:dyDescent="0.3">
      <c r="B10" s="39" t="s">
        <v>235</v>
      </c>
      <c r="C10" s="39" t="s">
        <v>90</v>
      </c>
      <c r="D10" s="39">
        <v>27500</v>
      </c>
    </row>
    <row r="11" spans="1:11" x14ac:dyDescent="0.3">
      <c r="B11" s="39" t="s">
        <v>237</v>
      </c>
      <c r="C11" s="39" t="s">
        <v>92</v>
      </c>
      <c r="D11" s="39">
        <v>6400</v>
      </c>
    </row>
    <row r="12" spans="1:11" x14ac:dyDescent="0.3">
      <c r="B12" s="39" t="s">
        <v>239</v>
      </c>
      <c r="C12" s="39" t="s">
        <v>94</v>
      </c>
      <c r="D12" s="39">
        <v>5900</v>
      </c>
    </row>
    <row r="13" spans="1:11" x14ac:dyDescent="0.3">
      <c r="B13" s="39" t="s">
        <v>235</v>
      </c>
      <c r="C13" s="39" t="s">
        <v>90</v>
      </c>
      <c r="D13" s="39">
        <v>25500</v>
      </c>
    </row>
    <row r="17" spans="2:9" x14ac:dyDescent="0.3">
      <c r="B17" s="40" t="s">
        <v>83</v>
      </c>
      <c r="C17" s="40" t="s">
        <v>84</v>
      </c>
      <c r="D17" s="40" t="s">
        <v>96</v>
      </c>
      <c r="F17" s="3" t="s">
        <v>83</v>
      </c>
      <c r="G17" s="3" t="s">
        <v>84</v>
      </c>
      <c r="H17" s="3" t="s">
        <v>214</v>
      </c>
      <c r="I17" s="38"/>
    </row>
    <row r="18" spans="2:9" x14ac:dyDescent="0.3">
      <c r="B18" s="39" t="s">
        <v>240</v>
      </c>
      <c r="C18" s="39" t="s">
        <v>90</v>
      </c>
      <c r="D18" s="39">
        <v>34000</v>
      </c>
      <c r="F18" s="39" t="s">
        <v>156</v>
      </c>
      <c r="G18" s="4" t="s">
        <v>90</v>
      </c>
      <c r="H18" s="4">
        <f>COUNTIFS(B18:B27,F18,C18:C27,G18)</f>
        <v>2</v>
      </c>
    </row>
    <row r="19" spans="2:9" x14ac:dyDescent="0.3">
      <c r="B19" s="39" t="s">
        <v>237</v>
      </c>
      <c r="C19" s="39" t="s">
        <v>92</v>
      </c>
      <c r="D19" s="39">
        <v>5000</v>
      </c>
    </row>
    <row r="20" spans="2:9" x14ac:dyDescent="0.3">
      <c r="B20" s="39" t="s">
        <v>155</v>
      </c>
      <c r="C20" s="39" t="s">
        <v>94</v>
      </c>
      <c r="D20" s="39">
        <v>76000</v>
      </c>
    </row>
    <row r="21" spans="2:9" x14ac:dyDescent="0.3">
      <c r="B21" s="39" t="s">
        <v>156</v>
      </c>
      <c r="C21" s="39" t="s">
        <v>90</v>
      </c>
      <c r="D21" s="39">
        <v>45000</v>
      </c>
    </row>
    <row r="22" spans="2:9" x14ac:dyDescent="0.3">
      <c r="B22" s="39" t="s">
        <v>239</v>
      </c>
      <c r="C22" s="39" t="s">
        <v>92</v>
      </c>
      <c r="D22" s="39">
        <v>8700</v>
      </c>
    </row>
    <row r="23" spans="2:9" x14ac:dyDescent="0.3">
      <c r="B23" s="39" t="s">
        <v>155</v>
      </c>
      <c r="C23" s="39" t="s">
        <v>94</v>
      </c>
      <c r="D23" s="39">
        <v>5600</v>
      </c>
    </row>
    <row r="24" spans="2:9" x14ac:dyDescent="0.3">
      <c r="B24" s="39" t="s">
        <v>156</v>
      </c>
      <c r="C24" s="39" t="s">
        <v>90</v>
      </c>
      <c r="D24" s="39">
        <v>45000</v>
      </c>
    </row>
    <row r="25" spans="2:9" x14ac:dyDescent="0.3">
      <c r="B25" s="39" t="s">
        <v>241</v>
      </c>
      <c r="C25" s="39" t="s">
        <v>92</v>
      </c>
      <c r="D25" s="39">
        <v>5600</v>
      </c>
    </row>
    <row r="26" spans="2:9" x14ac:dyDescent="0.3">
      <c r="B26" s="39" t="s">
        <v>242</v>
      </c>
      <c r="C26" s="39" t="s">
        <v>94</v>
      </c>
      <c r="D26" s="39">
        <v>5600</v>
      </c>
    </row>
    <row r="27" spans="2:9" x14ac:dyDescent="0.3">
      <c r="B27" s="39" t="s">
        <v>240</v>
      </c>
      <c r="C27" s="39" t="s">
        <v>90</v>
      </c>
      <c r="D27" s="39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5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.75" x14ac:dyDescent="0.3"/>
  <cols>
    <col min="2" max="2" width="14" customWidth="1"/>
    <col min="4" max="5" width="10.29687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35">
      <c r="A1" s="36">
        <v>25</v>
      </c>
      <c r="B1" s="1" t="s">
        <v>243</v>
      </c>
    </row>
    <row r="2" spans="1:9" x14ac:dyDescent="0.3">
      <c r="A2" s="37" t="s">
        <v>2</v>
      </c>
    </row>
    <row r="3" spans="1:9" x14ac:dyDescent="0.3">
      <c r="B3" s="137" t="s">
        <v>244</v>
      </c>
      <c r="C3" s="22">
        <f>SUBTOTAL(109,D6:D14)</f>
        <v>10</v>
      </c>
      <c r="E3" s="3" t="s">
        <v>245</v>
      </c>
      <c r="F3" s="22">
        <f>SUBTOTAL(109,F8:F11)</f>
        <v>2150</v>
      </c>
      <c r="H3" s="3" t="s">
        <v>246</v>
      </c>
      <c r="I3" s="22">
        <f>SUBTOTAL(2,F6:F14)</f>
        <v>2</v>
      </c>
    </row>
    <row r="5" spans="1:9" x14ac:dyDescent="0.3">
      <c r="B5" s="53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hidden="1" x14ac:dyDescent="0.3">
      <c r="B6" s="39" t="s">
        <v>89</v>
      </c>
      <c r="C6" s="43" t="s">
        <v>90</v>
      </c>
      <c r="D6" s="4">
        <v>3</v>
      </c>
      <c r="E6" s="4">
        <v>200</v>
      </c>
      <c r="F6" s="4">
        <f>D6*E6</f>
        <v>600</v>
      </c>
    </row>
    <row r="7" spans="1:9" hidden="1" x14ac:dyDescent="0.3">
      <c r="B7" s="39" t="s">
        <v>91</v>
      </c>
      <c r="C7" s="43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">
      <c r="B8" s="51" t="s">
        <v>93</v>
      </c>
      <c r="C8" s="43" t="s">
        <v>94</v>
      </c>
      <c r="D8" s="4">
        <v>5</v>
      </c>
      <c r="E8" s="4">
        <v>280</v>
      </c>
      <c r="F8" s="4">
        <f t="shared" si="0"/>
        <v>1400</v>
      </c>
    </row>
    <row r="9" spans="1:9" hidden="1" x14ac:dyDescent="0.3">
      <c r="B9" s="39" t="s">
        <v>89</v>
      </c>
      <c r="C9" s="43" t="s">
        <v>90</v>
      </c>
      <c r="D9" s="4">
        <v>6</v>
      </c>
      <c r="E9" s="4">
        <v>130</v>
      </c>
      <c r="F9" s="4">
        <f t="shared" si="0"/>
        <v>780</v>
      </c>
    </row>
    <row r="10" spans="1:9" hidden="1" x14ac:dyDescent="0.3">
      <c r="B10" s="39" t="s">
        <v>91</v>
      </c>
      <c r="C10" s="43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">
      <c r="B11" s="51" t="s">
        <v>93</v>
      </c>
      <c r="C11" s="43" t="s">
        <v>94</v>
      </c>
      <c r="D11" s="4">
        <v>5</v>
      </c>
      <c r="E11" s="4">
        <v>150</v>
      </c>
      <c r="F11" s="4">
        <f t="shared" si="0"/>
        <v>750</v>
      </c>
    </row>
    <row r="12" spans="1:9" hidden="1" x14ac:dyDescent="0.3">
      <c r="B12" s="39" t="s">
        <v>89</v>
      </c>
      <c r="C12" s="43" t="s">
        <v>90</v>
      </c>
      <c r="D12" s="4">
        <v>4</v>
      </c>
      <c r="E12" s="4">
        <v>170</v>
      </c>
      <c r="F12" s="4">
        <f t="shared" si="0"/>
        <v>680</v>
      </c>
    </row>
    <row r="13" spans="1:9" hidden="1" x14ac:dyDescent="0.3">
      <c r="B13" s="39" t="s">
        <v>91</v>
      </c>
      <c r="C13" s="43" t="s">
        <v>92</v>
      </c>
      <c r="D13" s="4">
        <v>3</v>
      </c>
      <c r="E13" s="4">
        <v>180</v>
      </c>
      <c r="F13" s="4">
        <f t="shared" si="0"/>
        <v>540</v>
      </c>
    </row>
    <row r="14" spans="1:9" hidden="1" x14ac:dyDescent="0.3">
      <c r="B14" s="39" t="s">
        <v>113</v>
      </c>
      <c r="C14" s="43" t="s">
        <v>94</v>
      </c>
      <c r="D14" s="4">
        <v>4</v>
      </c>
      <c r="E14" s="4">
        <v>110</v>
      </c>
      <c r="F14" s="4">
        <f t="shared" si="0"/>
        <v>440</v>
      </c>
    </row>
    <row r="15" spans="1:9" hidden="1" x14ac:dyDescent="0.3"/>
  </sheetData>
  <autoFilter ref="B5:F15" xr:uid="{BAC4DE15-CC8C-45E1-BAF6-6228EFEBC88C}">
    <filterColumn colId="1">
      <filters>
        <filter val="North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37"/>
  <sheetViews>
    <sheetView zoomScale="130" zoomScaleNormal="130" workbookViewId="0">
      <pane ySplit="1" topLeftCell="A20" activePane="bottomLeft" state="frozen"/>
      <selection pane="bottomLeft" activeCell="E30" sqref="E30:E37"/>
    </sheetView>
  </sheetViews>
  <sheetFormatPr defaultRowHeight="18.75" x14ac:dyDescent="0.3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26</v>
      </c>
      <c r="B1" s="1" t="s">
        <v>247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 x14ac:dyDescent="0.3">
      <c r="B5" s="52" t="s">
        <v>201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 x14ac:dyDescent="0.3">
      <c r="B6" s="52" t="s">
        <v>204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3">
      <c r="B7" s="52" t="s">
        <v>198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3">
      <c r="B8" s="52" t="s">
        <v>200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3">
      <c r="B9" s="52" t="s">
        <v>202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3">
      <c r="B10" s="52" t="s">
        <v>203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3">
      <c r="B11" s="52" t="s">
        <v>199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3">
      <c r="B13" s="3" t="s">
        <v>249</v>
      </c>
      <c r="C13" s="3" t="s">
        <v>250</v>
      </c>
      <c r="D13" s="3" t="s">
        <v>248</v>
      </c>
    </row>
    <row r="14" spans="1:7" x14ac:dyDescent="0.3">
      <c r="B14" s="4">
        <v>200</v>
      </c>
      <c r="C14" s="4">
        <v>140</v>
      </c>
      <c r="D14" s="23">
        <f>C14/B14</f>
        <v>0.7</v>
      </c>
    </row>
    <row r="17" spans="2:7" x14ac:dyDescent="0.3">
      <c r="B17" s="40" t="s">
        <v>251</v>
      </c>
      <c r="C17" s="40" t="s">
        <v>252</v>
      </c>
      <c r="D17" s="55" t="s">
        <v>253</v>
      </c>
      <c r="E17" s="54" t="s">
        <v>254</v>
      </c>
      <c r="F17" s="49"/>
      <c r="G17" s="38"/>
    </row>
    <row r="18" spans="2:7" x14ac:dyDescent="0.3">
      <c r="B18" s="51" t="s">
        <v>255</v>
      </c>
      <c r="C18" s="39">
        <v>14500</v>
      </c>
      <c r="D18" s="39">
        <f t="shared" ref="D18:D25" si="2">C18*5%</f>
        <v>725</v>
      </c>
      <c r="E18" s="56">
        <f t="shared" ref="E18:E25" si="3">C18+C18*10%</f>
        <v>15950</v>
      </c>
      <c r="F18" s="50"/>
    </row>
    <row r="19" spans="2:7" x14ac:dyDescent="0.3">
      <c r="B19" s="51" t="s">
        <v>256</v>
      </c>
      <c r="C19" s="39">
        <v>11500</v>
      </c>
      <c r="D19" s="39">
        <f t="shared" si="2"/>
        <v>575</v>
      </c>
      <c r="E19" s="39">
        <f t="shared" si="3"/>
        <v>12650</v>
      </c>
      <c r="F19" s="50"/>
    </row>
    <row r="20" spans="2:7" x14ac:dyDescent="0.3">
      <c r="B20" s="51" t="s">
        <v>257</v>
      </c>
      <c r="C20" s="39">
        <v>15800</v>
      </c>
      <c r="D20" s="39">
        <f t="shared" si="2"/>
        <v>790</v>
      </c>
      <c r="E20" s="39">
        <f t="shared" si="3"/>
        <v>17380</v>
      </c>
      <c r="F20" s="50"/>
    </row>
    <row r="21" spans="2:7" x14ac:dyDescent="0.3">
      <c r="B21" s="51" t="s">
        <v>258</v>
      </c>
      <c r="C21" s="39">
        <v>23000</v>
      </c>
      <c r="D21" s="39">
        <f t="shared" si="2"/>
        <v>1150</v>
      </c>
      <c r="E21" s="39">
        <f t="shared" si="3"/>
        <v>25300</v>
      </c>
      <c r="F21" s="50"/>
    </row>
    <row r="22" spans="2:7" x14ac:dyDescent="0.3">
      <c r="B22" s="51" t="s">
        <v>259</v>
      </c>
      <c r="C22" s="39">
        <v>13500</v>
      </c>
      <c r="D22" s="39">
        <f t="shared" si="2"/>
        <v>675</v>
      </c>
      <c r="E22" s="39">
        <f t="shared" si="3"/>
        <v>14850</v>
      </c>
      <c r="F22" s="50"/>
    </row>
    <row r="23" spans="2:7" x14ac:dyDescent="0.3">
      <c r="B23" s="51" t="s">
        <v>260</v>
      </c>
      <c r="C23" s="39">
        <v>12000</v>
      </c>
      <c r="D23" s="39">
        <f t="shared" si="2"/>
        <v>600</v>
      </c>
      <c r="E23" s="39">
        <f t="shared" si="3"/>
        <v>13200</v>
      </c>
      <c r="F23" s="50"/>
    </row>
    <row r="24" spans="2:7" x14ac:dyDescent="0.3">
      <c r="B24" s="51" t="s">
        <v>261</v>
      </c>
      <c r="C24" s="39">
        <v>98000</v>
      </c>
      <c r="D24" s="39">
        <f t="shared" si="2"/>
        <v>4900</v>
      </c>
      <c r="E24" s="39">
        <f t="shared" si="3"/>
        <v>107800</v>
      </c>
      <c r="F24" s="50"/>
    </row>
    <row r="25" spans="2:7" x14ac:dyDescent="0.3">
      <c r="B25" s="51" t="s">
        <v>262</v>
      </c>
      <c r="C25" s="39">
        <v>21000</v>
      </c>
      <c r="D25" s="39">
        <f t="shared" si="2"/>
        <v>1050</v>
      </c>
      <c r="E25" s="39">
        <f t="shared" si="3"/>
        <v>23100</v>
      </c>
      <c r="F25" s="50"/>
    </row>
    <row r="29" spans="2:7" x14ac:dyDescent="0.3">
      <c r="B29" s="40" t="s">
        <v>251</v>
      </c>
      <c r="C29" s="40" t="s">
        <v>252</v>
      </c>
      <c r="D29" t="s">
        <v>253</v>
      </c>
      <c r="E29" t="s">
        <v>254</v>
      </c>
    </row>
    <row r="30" spans="2:7" x14ac:dyDescent="0.3">
      <c r="B30" s="51" t="s">
        <v>255</v>
      </c>
      <c r="C30" s="39">
        <v>14500</v>
      </c>
      <c r="D30">
        <f>C30*5%</f>
        <v>725</v>
      </c>
      <c r="E30">
        <f>C30+C30*10%</f>
        <v>15950</v>
      </c>
    </row>
    <row r="31" spans="2:7" x14ac:dyDescent="0.3">
      <c r="B31" s="51" t="s">
        <v>256</v>
      </c>
      <c r="C31" s="39">
        <v>11500</v>
      </c>
      <c r="D31">
        <f t="shared" ref="D31:D37" si="4">C31*5%</f>
        <v>575</v>
      </c>
      <c r="E31">
        <f t="shared" ref="E31:E37" si="5">C31+C31*10%</f>
        <v>12650</v>
      </c>
    </row>
    <row r="32" spans="2:7" x14ac:dyDescent="0.3">
      <c r="B32" s="51" t="s">
        <v>257</v>
      </c>
      <c r="C32" s="39">
        <v>15800</v>
      </c>
      <c r="D32">
        <f t="shared" si="4"/>
        <v>790</v>
      </c>
      <c r="E32">
        <f t="shared" si="5"/>
        <v>17380</v>
      </c>
    </row>
    <row r="33" spans="2:5" x14ac:dyDescent="0.3">
      <c r="B33" s="51" t="s">
        <v>258</v>
      </c>
      <c r="C33" s="39">
        <v>23000</v>
      </c>
      <c r="D33">
        <f t="shared" si="4"/>
        <v>1150</v>
      </c>
      <c r="E33">
        <f t="shared" si="5"/>
        <v>25300</v>
      </c>
    </row>
    <row r="34" spans="2:5" x14ac:dyDescent="0.3">
      <c r="B34" s="51" t="s">
        <v>259</v>
      </c>
      <c r="C34" s="39">
        <v>13500</v>
      </c>
      <c r="D34">
        <f t="shared" si="4"/>
        <v>675</v>
      </c>
      <c r="E34">
        <f t="shared" si="5"/>
        <v>14850</v>
      </c>
    </row>
    <row r="35" spans="2:5" x14ac:dyDescent="0.3">
      <c r="B35" s="51" t="s">
        <v>260</v>
      </c>
      <c r="C35" s="39">
        <v>12000</v>
      </c>
      <c r="D35">
        <f t="shared" si="4"/>
        <v>600</v>
      </c>
      <c r="E35">
        <f t="shared" si="5"/>
        <v>13200</v>
      </c>
    </row>
    <row r="36" spans="2:5" x14ac:dyDescent="0.3">
      <c r="B36" s="51" t="s">
        <v>261</v>
      </c>
      <c r="C36" s="39">
        <v>98000</v>
      </c>
      <c r="D36">
        <f t="shared" si="4"/>
        <v>4900</v>
      </c>
      <c r="E36">
        <f t="shared" si="5"/>
        <v>107800</v>
      </c>
    </row>
    <row r="37" spans="2:5" x14ac:dyDescent="0.3">
      <c r="B37" s="51" t="s">
        <v>262</v>
      </c>
      <c r="C37" s="39">
        <v>21000</v>
      </c>
      <c r="D37">
        <f t="shared" si="4"/>
        <v>1050</v>
      </c>
      <c r="E37">
        <f t="shared" si="5"/>
        <v>23100</v>
      </c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9.5" customWidth="1"/>
    <col min="3" max="3" width="9.5" customWidth="1"/>
    <col min="6" max="6" width="18.296875" bestFit="1" customWidth="1"/>
  </cols>
  <sheetData>
    <row r="1" spans="1:7" s="2" customFormat="1" ht="32.65" customHeight="1" thickBot="1" x14ac:dyDescent="0.35">
      <c r="A1" s="36">
        <v>27</v>
      </c>
      <c r="B1" s="1" t="s">
        <v>263</v>
      </c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127</v>
      </c>
      <c r="F3" s="38"/>
      <c r="G3" s="38"/>
    </row>
    <row r="4" spans="1:7" x14ac:dyDescent="0.3">
      <c r="B4" t="s">
        <v>264</v>
      </c>
      <c r="C4">
        <v>125</v>
      </c>
      <c r="D4" s="24" t="e" vm="1">
        <f ca="1">_xlfn.PERCENTOF(C4,$C$4:$C$12)</f>
        <v>#NAME?</v>
      </c>
    </row>
    <row r="5" spans="1:7" x14ac:dyDescent="0.3">
      <c r="B5" t="s">
        <v>265</v>
      </c>
      <c r="C5">
        <v>200</v>
      </c>
      <c r="D5" s="24" t="e" vm="1">
        <f t="shared" ref="D5:D12" ca="1" si="0">_xlfn.PERCENTOF(C5,$C$4:$C$12)</f>
        <v>#NAME?</v>
      </c>
    </row>
    <row r="6" spans="1:7" x14ac:dyDescent="0.3">
      <c r="B6" t="s">
        <v>266</v>
      </c>
      <c r="C6">
        <v>60</v>
      </c>
      <c r="D6" s="24" t="e" vm="1">
        <f t="shared" ca="1" si="0"/>
        <v>#NAME?</v>
      </c>
    </row>
    <row r="7" spans="1:7" x14ac:dyDescent="0.3">
      <c r="B7" t="s">
        <v>267</v>
      </c>
      <c r="C7">
        <v>40</v>
      </c>
      <c r="D7" s="24" t="e" vm="1">
        <f t="shared" ca="1" si="0"/>
        <v>#NAME?</v>
      </c>
    </row>
    <row r="8" spans="1:7" x14ac:dyDescent="0.3">
      <c r="B8" t="s">
        <v>268</v>
      </c>
      <c r="C8">
        <v>25</v>
      </c>
      <c r="D8" s="24" t="e" vm="1">
        <f t="shared" ca="1" si="0"/>
        <v>#NAME?</v>
      </c>
    </row>
    <row r="9" spans="1:7" x14ac:dyDescent="0.3">
      <c r="B9" t="s">
        <v>269</v>
      </c>
      <c r="C9">
        <v>35</v>
      </c>
      <c r="D9" s="24" t="e" vm="1">
        <f t="shared" ca="1" si="0"/>
        <v>#NAME?</v>
      </c>
    </row>
    <row r="10" spans="1:7" x14ac:dyDescent="0.3">
      <c r="B10" t="s">
        <v>270</v>
      </c>
      <c r="C10">
        <v>350</v>
      </c>
      <c r="D10" s="24" t="e" vm="1">
        <f t="shared" ca="1" si="0"/>
        <v>#NAME?</v>
      </c>
    </row>
    <row r="11" spans="1:7" x14ac:dyDescent="0.3">
      <c r="B11" t="s">
        <v>271</v>
      </c>
      <c r="C11">
        <v>70</v>
      </c>
      <c r="D11" s="24" t="e" vm="1">
        <f t="shared" ca="1" si="0"/>
        <v>#NAME?</v>
      </c>
    </row>
    <row r="12" spans="1:7" x14ac:dyDescent="0.3">
      <c r="B12" t="s">
        <v>272</v>
      </c>
      <c r="C12">
        <v>90</v>
      </c>
      <c r="D12" s="24" t="e" vm="1">
        <f t="shared" ca="1" si="0"/>
        <v>#NAME?</v>
      </c>
    </row>
    <row r="13" spans="1:7" x14ac:dyDescent="0.3">
      <c r="D13" s="25" t="e" vm="2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24"/>
  <sheetViews>
    <sheetView zoomScale="130" zoomScaleNormal="130" workbookViewId="0">
      <pane ySplit="1" topLeftCell="A11" activePane="bottomLeft" state="frozen"/>
      <selection pane="bottomLeft" activeCell="C15" sqref="C15"/>
    </sheetView>
  </sheetViews>
  <sheetFormatPr defaultRowHeight="18.75" x14ac:dyDescent="0.3"/>
  <cols>
    <col min="2" max="2" width="14" customWidth="1"/>
    <col min="3" max="3" width="9.5" customWidth="1"/>
    <col min="5" max="5" width="16.296875" bestFit="1" customWidth="1"/>
  </cols>
  <sheetData>
    <row r="1" spans="1:5" s="2" customFormat="1" ht="32.65" customHeight="1" thickBot="1" x14ac:dyDescent="0.35">
      <c r="A1" s="36">
        <v>28</v>
      </c>
      <c r="B1" s="1" t="s">
        <v>273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209</v>
      </c>
      <c r="E3" s="38"/>
    </row>
    <row r="4" spans="1:5" x14ac:dyDescent="0.3">
      <c r="B4" s="39" t="s">
        <v>274</v>
      </c>
      <c r="C4" s="39">
        <f ca="1">RAND()</f>
        <v>0.17798084551182347</v>
      </c>
    </row>
    <row r="5" spans="1:5" x14ac:dyDescent="0.3">
      <c r="B5" s="39" t="s">
        <v>215</v>
      </c>
      <c r="C5" s="39">
        <f t="shared" ref="C5:C12" ca="1" si="0">RAND()</f>
        <v>0.9323552317345396</v>
      </c>
    </row>
    <row r="6" spans="1:5" x14ac:dyDescent="0.3">
      <c r="B6" s="39" t="s">
        <v>275</v>
      </c>
      <c r="C6" s="39">
        <f t="shared" ca="1" si="0"/>
        <v>0.88145309694617402</v>
      </c>
    </row>
    <row r="7" spans="1:5" x14ac:dyDescent="0.3">
      <c r="B7" s="39" t="s">
        <v>276</v>
      </c>
      <c r="C7" s="39">
        <f t="shared" ca="1" si="0"/>
        <v>6.3353939969531092E-2</v>
      </c>
    </row>
    <row r="8" spans="1:5" x14ac:dyDescent="0.3">
      <c r="B8" s="39" t="s">
        <v>277</v>
      </c>
      <c r="C8" s="39">
        <f t="shared" ca="1" si="0"/>
        <v>0.37770595750248437</v>
      </c>
    </row>
    <row r="9" spans="1:5" x14ac:dyDescent="0.3">
      <c r="B9" s="39" t="s">
        <v>278</v>
      </c>
      <c r="C9" s="39">
        <f t="shared" ca="1" si="0"/>
        <v>0.30146629149330628</v>
      </c>
    </row>
    <row r="10" spans="1:5" x14ac:dyDescent="0.3">
      <c r="B10" s="39" t="s">
        <v>222</v>
      </c>
      <c r="C10" s="39">
        <f t="shared" ca="1" si="0"/>
        <v>0.71497325881107998</v>
      </c>
    </row>
    <row r="11" spans="1:5" x14ac:dyDescent="0.3">
      <c r="B11" s="39" t="s">
        <v>224</v>
      </c>
      <c r="C11" s="39">
        <f t="shared" ca="1" si="0"/>
        <v>0.72663119573200508</v>
      </c>
    </row>
    <row r="12" spans="1:5" x14ac:dyDescent="0.3">
      <c r="B12" s="39" t="s">
        <v>279</v>
      </c>
      <c r="C12" s="39">
        <f t="shared" ca="1" si="0"/>
        <v>0.37373287173628544</v>
      </c>
    </row>
    <row r="15" spans="1:5" x14ac:dyDescent="0.3">
      <c r="B15" s="40" t="s">
        <v>83</v>
      </c>
      <c r="C15" s="127" t="s">
        <v>209</v>
      </c>
    </row>
    <row r="16" spans="1:5" x14ac:dyDescent="0.3">
      <c r="B16" s="39" t="s">
        <v>274</v>
      </c>
      <c r="C16">
        <f ca="1">RAND()</f>
        <v>0.76541462279715888</v>
      </c>
    </row>
    <row r="17" spans="2:3" x14ac:dyDescent="0.3">
      <c r="B17" s="39" t="s">
        <v>215</v>
      </c>
      <c r="C17">
        <f t="shared" ref="C17:C24" ca="1" si="1">RAND()</f>
        <v>0.72669515264235207</v>
      </c>
    </row>
    <row r="18" spans="2:3" x14ac:dyDescent="0.3">
      <c r="B18" s="39" t="s">
        <v>275</v>
      </c>
      <c r="C18">
        <f t="shared" ca="1" si="1"/>
        <v>0.71009835235448582</v>
      </c>
    </row>
    <row r="19" spans="2:3" x14ac:dyDescent="0.3">
      <c r="B19" s="39" t="s">
        <v>276</v>
      </c>
      <c r="C19">
        <f t="shared" ca="1" si="1"/>
        <v>0.86313892237594902</v>
      </c>
    </row>
    <row r="20" spans="2:3" x14ac:dyDescent="0.3">
      <c r="B20" s="39" t="s">
        <v>277</v>
      </c>
      <c r="C20">
        <f t="shared" ca="1" si="1"/>
        <v>0.76910101002776732</v>
      </c>
    </row>
    <row r="21" spans="2:3" x14ac:dyDescent="0.3">
      <c r="B21" s="39" t="s">
        <v>278</v>
      </c>
      <c r="C21">
        <f t="shared" ca="1" si="1"/>
        <v>0.20583753658097248</v>
      </c>
    </row>
    <row r="22" spans="2:3" x14ac:dyDescent="0.3">
      <c r="B22" s="39" t="s">
        <v>222</v>
      </c>
      <c r="C22">
        <f t="shared" ca="1" si="1"/>
        <v>0.78741471328222512</v>
      </c>
    </row>
    <row r="23" spans="2:3" x14ac:dyDescent="0.3">
      <c r="B23" s="39" t="s">
        <v>224</v>
      </c>
      <c r="C23">
        <f t="shared" ca="1" si="1"/>
        <v>0.79204073421227383</v>
      </c>
    </row>
    <row r="24" spans="2:3" x14ac:dyDescent="0.3">
      <c r="B24" s="39" t="s">
        <v>279</v>
      </c>
      <c r="C24">
        <f t="shared" ca="1" si="1"/>
        <v>0.33544977833934964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 activeCell="G4" sqref="G4:G11"/>
    </sheetView>
  </sheetViews>
  <sheetFormatPr defaultRowHeight="18.75" x14ac:dyDescent="0.3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29</v>
      </c>
      <c r="B1" s="1" t="s">
        <v>280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15</v>
      </c>
      <c r="D4" s="4">
        <v>5</v>
      </c>
      <c r="E4" s="4">
        <v>89</v>
      </c>
      <c r="F4" s="4">
        <f>SUM(C4:E4)</f>
        <v>109</v>
      </c>
      <c r="G4" s="26">
        <f ca="1">RANDBETWEEN(D4,F4)</f>
        <v>97</v>
      </c>
    </row>
    <row r="5" spans="1:7" x14ac:dyDescent="0.3">
      <c r="B5" s="52" t="s">
        <v>201</v>
      </c>
      <c r="C5" s="4">
        <v>16</v>
      </c>
      <c r="D5" s="4">
        <v>36</v>
      </c>
      <c r="E5" s="4">
        <v>13</v>
      </c>
      <c r="F5" s="4">
        <f t="shared" ref="F5:F11" si="0">SUM(C5:E5)</f>
        <v>65</v>
      </c>
      <c r="G5" s="26">
        <f t="shared" ref="G5:G11" ca="1" si="1">RANDBETWEEN(D5,F5)</f>
        <v>55</v>
      </c>
    </row>
    <row r="6" spans="1:7" x14ac:dyDescent="0.3">
      <c r="B6" s="52" t="s">
        <v>204</v>
      </c>
      <c r="C6" s="4">
        <v>50</v>
      </c>
      <c r="D6" s="4">
        <v>53</v>
      </c>
      <c r="E6" s="4">
        <v>76</v>
      </c>
      <c r="F6" s="4">
        <f t="shared" si="0"/>
        <v>179</v>
      </c>
      <c r="G6" s="26">
        <f t="shared" ca="1" si="1"/>
        <v>95</v>
      </c>
    </row>
    <row r="7" spans="1:7" x14ac:dyDescent="0.3">
      <c r="B7" s="52" t="s">
        <v>198</v>
      </c>
      <c r="C7" s="4">
        <v>20</v>
      </c>
      <c r="D7" s="4">
        <v>54</v>
      </c>
      <c r="E7" s="4">
        <v>19</v>
      </c>
      <c r="F7" s="4">
        <f t="shared" si="0"/>
        <v>93</v>
      </c>
      <c r="G7" s="26">
        <f t="shared" ca="1" si="1"/>
        <v>58</v>
      </c>
    </row>
    <row r="8" spans="1:7" x14ac:dyDescent="0.3">
      <c r="B8" s="52" t="s">
        <v>200</v>
      </c>
      <c r="C8" s="4">
        <v>19</v>
      </c>
      <c r="D8" s="4">
        <v>54</v>
      </c>
      <c r="E8" s="4">
        <v>67</v>
      </c>
      <c r="F8" s="4">
        <f t="shared" si="0"/>
        <v>140</v>
      </c>
      <c r="G8" s="26">
        <f t="shared" ca="1" si="1"/>
        <v>62</v>
      </c>
    </row>
    <row r="9" spans="1:7" x14ac:dyDescent="0.3">
      <c r="B9" s="52" t="s">
        <v>202</v>
      </c>
      <c r="C9" s="4">
        <v>81</v>
      </c>
      <c r="D9" s="4">
        <v>20</v>
      </c>
      <c r="E9" s="4">
        <v>28</v>
      </c>
      <c r="F9" s="4">
        <f t="shared" si="0"/>
        <v>129</v>
      </c>
      <c r="G9" s="26">
        <f t="shared" ca="1" si="1"/>
        <v>50</v>
      </c>
    </row>
    <row r="10" spans="1:7" x14ac:dyDescent="0.3">
      <c r="B10" s="52" t="s">
        <v>203</v>
      </c>
      <c r="C10" s="4">
        <v>86</v>
      </c>
      <c r="D10" s="4">
        <v>74</v>
      </c>
      <c r="E10" s="4">
        <v>9</v>
      </c>
      <c r="F10" s="4">
        <f t="shared" si="0"/>
        <v>169</v>
      </c>
      <c r="G10" s="26">
        <f t="shared" ca="1" si="1"/>
        <v>113</v>
      </c>
    </row>
    <row r="11" spans="1:7" x14ac:dyDescent="0.3">
      <c r="B11" s="52" t="s">
        <v>199</v>
      </c>
      <c r="C11" s="4">
        <v>40</v>
      </c>
      <c r="D11" s="4">
        <v>10</v>
      </c>
      <c r="E11" s="4">
        <v>66</v>
      </c>
      <c r="F11" s="4">
        <f t="shared" si="0"/>
        <v>116</v>
      </c>
      <c r="G11" s="26">
        <f t="shared" ca="1" si="1"/>
        <v>109</v>
      </c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D24"/>
  <sheetViews>
    <sheetView zoomScale="130" zoomScaleNormal="130" workbookViewId="0">
      <pane ySplit="1" topLeftCell="A11" activePane="bottomLeft" state="frozen"/>
      <selection pane="bottomLeft" activeCell="D25" sqref="D25"/>
    </sheetView>
  </sheetViews>
  <sheetFormatPr defaultRowHeight="18.75" x14ac:dyDescent="0.3"/>
  <cols>
    <col min="2" max="2" width="23.3984375" customWidth="1"/>
    <col min="3" max="3" width="3.19921875" customWidth="1"/>
  </cols>
  <sheetData>
    <row r="1" spans="1:4" s="2" customFormat="1" ht="32.65" customHeight="1" thickBot="1" x14ac:dyDescent="0.35">
      <c r="A1" s="36">
        <v>30</v>
      </c>
      <c r="B1" s="1" t="s">
        <v>281</v>
      </c>
    </row>
    <row r="2" spans="1:4" x14ac:dyDescent="0.3">
      <c r="A2" s="37" t="s">
        <v>2</v>
      </c>
    </row>
    <row r="3" spans="1:4" x14ac:dyDescent="0.3">
      <c r="B3" s="3" t="s">
        <v>282</v>
      </c>
    </row>
    <row r="4" spans="1:4" x14ac:dyDescent="0.3">
      <c r="B4" s="4">
        <v>-2000</v>
      </c>
      <c r="D4">
        <f>ABS(B4)</f>
        <v>2000</v>
      </c>
    </row>
    <row r="5" spans="1:4" x14ac:dyDescent="0.3">
      <c r="B5" s="4">
        <v>5000</v>
      </c>
      <c r="D5">
        <f t="shared" ref="D5:D11" si="0">ABS(B5)</f>
        <v>5000</v>
      </c>
    </row>
    <row r="6" spans="1:4" x14ac:dyDescent="0.3">
      <c r="B6" s="4">
        <v>10000</v>
      </c>
      <c r="D6">
        <f t="shared" si="0"/>
        <v>10000</v>
      </c>
    </row>
    <row r="7" spans="1:4" x14ac:dyDescent="0.3">
      <c r="B7" s="4">
        <v>-5000</v>
      </c>
      <c r="D7">
        <f t="shared" si="0"/>
        <v>5000</v>
      </c>
    </row>
    <row r="8" spans="1:4" x14ac:dyDescent="0.3">
      <c r="B8" s="4">
        <v>-12000</v>
      </c>
      <c r="D8">
        <f t="shared" si="0"/>
        <v>12000</v>
      </c>
    </row>
    <row r="9" spans="1:4" x14ac:dyDescent="0.3">
      <c r="B9" s="4">
        <v>-2500</v>
      </c>
      <c r="D9">
        <f t="shared" si="0"/>
        <v>2500</v>
      </c>
    </row>
    <row r="10" spans="1:4" x14ac:dyDescent="0.3">
      <c r="B10" s="4">
        <v>1500</v>
      </c>
      <c r="D10">
        <f t="shared" si="0"/>
        <v>1500</v>
      </c>
    </row>
    <row r="11" spans="1:4" x14ac:dyDescent="0.3">
      <c r="B11" s="4">
        <v>-1350</v>
      </c>
      <c r="D11">
        <f t="shared" si="0"/>
        <v>1350</v>
      </c>
    </row>
    <row r="12" spans="1:4" x14ac:dyDescent="0.3">
      <c r="D12">
        <f>SUM(D4:D11)</f>
        <v>39350</v>
      </c>
    </row>
    <row r="15" spans="1:4" x14ac:dyDescent="0.3">
      <c r="B15" s="3" t="s">
        <v>282</v>
      </c>
    </row>
    <row r="16" spans="1:4" x14ac:dyDescent="0.3">
      <c r="B16" s="4">
        <v>-2000</v>
      </c>
      <c r="D16">
        <f>ABS(B16)</f>
        <v>2000</v>
      </c>
    </row>
    <row r="17" spans="2:4" x14ac:dyDescent="0.3">
      <c r="B17" s="4">
        <v>5000</v>
      </c>
      <c r="D17">
        <f t="shared" ref="D17:D23" si="1">ABS(B17)</f>
        <v>5000</v>
      </c>
    </row>
    <row r="18" spans="2:4" x14ac:dyDescent="0.3">
      <c r="B18" s="4">
        <v>10000</v>
      </c>
      <c r="D18">
        <f t="shared" si="1"/>
        <v>10000</v>
      </c>
    </row>
    <row r="19" spans="2:4" x14ac:dyDescent="0.3">
      <c r="B19" s="4">
        <v>-5000</v>
      </c>
      <c r="D19">
        <f t="shared" si="1"/>
        <v>5000</v>
      </c>
    </row>
    <row r="20" spans="2:4" x14ac:dyDescent="0.3">
      <c r="B20" s="4">
        <v>-12000</v>
      </c>
      <c r="D20">
        <f t="shared" si="1"/>
        <v>12000</v>
      </c>
    </row>
    <row r="21" spans="2:4" x14ac:dyDescent="0.3">
      <c r="B21" s="4">
        <v>-2500</v>
      </c>
      <c r="D21">
        <f t="shared" si="1"/>
        <v>2500</v>
      </c>
    </row>
    <row r="22" spans="2:4" x14ac:dyDescent="0.3">
      <c r="B22" s="4">
        <v>1500</v>
      </c>
      <c r="D22">
        <f t="shared" si="1"/>
        <v>1500</v>
      </c>
    </row>
    <row r="23" spans="2:4" x14ac:dyDescent="0.3">
      <c r="B23" s="4">
        <v>-1350</v>
      </c>
      <c r="D23">
        <f t="shared" si="1"/>
        <v>1350</v>
      </c>
    </row>
    <row r="24" spans="2:4" x14ac:dyDescent="0.3">
      <c r="D24">
        <f>SUM(D16:D23)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22"/>
  <sheetViews>
    <sheetView zoomScale="130" zoomScaleNormal="130" workbookViewId="0">
      <pane ySplit="1" topLeftCell="A2" activePane="bottomLeft" state="frozen"/>
      <selection pane="bottomLeft" activeCell="C15" sqref="C15"/>
    </sheetView>
  </sheetViews>
  <sheetFormatPr defaultRowHeight="18.75" x14ac:dyDescent="0.3"/>
  <cols>
    <col min="2" max="2" width="14" customWidth="1"/>
    <col min="3" max="5" width="7.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31</v>
      </c>
      <c r="B1" s="1" t="s">
        <v>283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46</v>
      </c>
      <c r="D4" s="4">
        <v>95</v>
      </c>
      <c r="E4" s="4">
        <v>61</v>
      </c>
      <c r="F4" s="4">
        <v>202</v>
      </c>
      <c r="G4" s="23">
        <v>0.67333333333333334</v>
      </c>
    </row>
    <row r="5" spans="1:7" x14ac:dyDescent="0.3">
      <c r="B5" s="52" t="s">
        <v>201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</row>
    <row r="6" spans="1:7" x14ac:dyDescent="0.3">
      <c r="B6" s="52" t="s">
        <v>204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</row>
    <row r="7" spans="1:7" x14ac:dyDescent="0.3">
      <c r="B7" s="52" t="s">
        <v>198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</row>
    <row r="8" spans="1:7" x14ac:dyDescent="0.3">
      <c r="B8" s="52" t="s">
        <v>200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</row>
    <row r="9" spans="1:7" x14ac:dyDescent="0.3">
      <c r="B9" s="52" t="s">
        <v>202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</row>
    <row r="10" spans="1:7" x14ac:dyDescent="0.3">
      <c r="B10" s="52" t="s">
        <v>203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</row>
    <row r="11" spans="1:7" x14ac:dyDescent="0.3">
      <c r="B11" s="52" t="s">
        <v>199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</row>
    <row r="14" spans="1:7" x14ac:dyDescent="0.3">
      <c r="B14" s="3" t="s">
        <v>192</v>
      </c>
    </row>
    <row r="15" spans="1:7" x14ac:dyDescent="0.3">
      <c r="B15" s="52" t="s">
        <v>205</v>
      </c>
    </row>
    <row r="16" spans="1:7" x14ac:dyDescent="0.3">
      <c r="B16" s="52" t="s">
        <v>201</v>
      </c>
    </row>
    <row r="17" spans="2:2" x14ac:dyDescent="0.3">
      <c r="B17" s="52" t="s">
        <v>204</v>
      </c>
    </row>
    <row r="18" spans="2:2" x14ac:dyDescent="0.3">
      <c r="B18" s="52" t="s">
        <v>198</v>
      </c>
    </row>
    <row r="19" spans="2:2" x14ac:dyDescent="0.3">
      <c r="B19" s="52" t="s">
        <v>200</v>
      </c>
    </row>
    <row r="20" spans="2:2" x14ac:dyDescent="0.3">
      <c r="B20" s="52" t="s">
        <v>202</v>
      </c>
    </row>
    <row r="21" spans="2:2" x14ac:dyDescent="0.3">
      <c r="B21" s="52" t="s">
        <v>203</v>
      </c>
    </row>
    <row r="22" spans="2:2" x14ac:dyDescent="0.3">
      <c r="B22" s="52" t="s">
        <v>199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I20"/>
  <sheetViews>
    <sheetView zoomScale="130" zoomScaleNormal="130" workbookViewId="0">
      <pane ySplit="1" topLeftCell="A2" activePane="bottomLeft" state="frozen"/>
      <selection pane="bottomLeft" activeCell="I18" sqref="I18"/>
    </sheetView>
  </sheetViews>
  <sheetFormatPr defaultRowHeight="18.75" x14ac:dyDescent="0.3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  <col min="8" max="8" width="12" customWidth="1"/>
  </cols>
  <sheetData>
    <row r="1" spans="1:8" s="2" customFormat="1" ht="32.65" customHeight="1" thickBot="1" x14ac:dyDescent="0.35">
      <c r="A1" s="36">
        <v>32</v>
      </c>
      <c r="B1" s="1" t="s">
        <v>284</v>
      </c>
    </row>
    <row r="2" spans="1:8" x14ac:dyDescent="0.3">
      <c r="A2" s="37" t="s">
        <v>2</v>
      </c>
    </row>
    <row r="3" spans="1:8" x14ac:dyDescent="0.3">
      <c r="B3" s="3" t="s">
        <v>285</v>
      </c>
      <c r="C3" s="3"/>
      <c r="E3" s="3" t="s">
        <v>286</v>
      </c>
      <c r="F3" s="3"/>
      <c r="G3" s="3"/>
    </row>
    <row r="4" spans="1:8" x14ac:dyDescent="0.3">
      <c r="B4" s="28">
        <v>1231231231231230</v>
      </c>
      <c r="C4" s="4" t="str">
        <f>TEXT(B4,"#### #### #### ####")</f>
        <v>1231 2312 3123 1230</v>
      </c>
      <c r="E4" s="27">
        <v>45352</v>
      </c>
      <c r="F4" s="4" t="str">
        <f>TEXT(E4,"ddd, mmm yyyy")</f>
        <v>Fri, Mar 2024</v>
      </c>
      <c r="G4" s="4" t="str">
        <f>TEXT(E4,"dddd")</f>
        <v>Friday</v>
      </c>
    </row>
    <row r="5" spans="1:8" x14ac:dyDescent="0.3">
      <c r="B5" s="28">
        <v>1231231231231230</v>
      </c>
      <c r="C5" s="4" t="str">
        <f>TEXT(B5,"#### #### #### ####")</f>
        <v>1231 2312 3123 1230</v>
      </c>
      <c r="E5" s="27">
        <v>45383</v>
      </c>
      <c r="F5" s="4" t="str">
        <f>TEXT(E5,"ddd, mmm yyyy")</f>
        <v>Mon, Apr 2024</v>
      </c>
      <c r="G5" s="4" t="str">
        <f>TEXT(E5,"dddd")</f>
        <v>Monday</v>
      </c>
    </row>
    <row r="6" spans="1:8" x14ac:dyDescent="0.3">
      <c r="B6" s="28">
        <v>1231231231231230</v>
      </c>
      <c r="C6" s="4" t="str">
        <f>TEXT(B6,"#### #### #### ####")</f>
        <v>1231 2312 3123 1230</v>
      </c>
      <c r="E6" s="27">
        <v>45444</v>
      </c>
      <c r="F6" s="4" t="str">
        <f>TEXT(E6,"ddd, mmm yyyy")</f>
        <v>Sat, Jun 2024</v>
      </c>
      <c r="G6" s="4" t="str">
        <f>TEXT(E6,"dddd")</f>
        <v>Saturday</v>
      </c>
    </row>
    <row r="7" spans="1:8" x14ac:dyDescent="0.3">
      <c r="B7" s="28">
        <v>1231231231231230</v>
      </c>
      <c r="C7" s="4" t="str">
        <f>TEXT(B7,"#### #### #### ####")</f>
        <v>1231 2312 3123 1230</v>
      </c>
      <c r="E7" s="27">
        <v>45352</v>
      </c>
      <c r="F7" s="4" t="str">
        <f>TEXT(E7,"ddd, mmm yyyy")</f>
        <v>Fri, Mar 2024</v>
      </c>
      <c r="G7" s="4" t="str">
        <f>TEXT(E7,"dddd")</f>
        <v>Friday</v>
      </c>
    </row>
    <row r="9" spans="1:8" x14ac:dyDescent="0.3">
      <c r="B9" s="3" t="s">
        <v>96</v>
      </c>
      <c r="C9" s="3"/>
      <c r="E9" s="3" t="s">
        <v>286</v>
      </c>
      <c r="F9" s="3"/>
    </row>
    <row r="10" spans="1:8" x14ac:dyDescent="0.3">
      <c r="B10" s="28">
        <v>500</v>
      </c>
      <c r="C10" s="4" t="str">
        <f>"price is "&amp;TEXT(B10,"$#")</f>
        <v>price is $500</v>
      </c>
      <c r="E10" s="27">
        <v>45352</v>
      </c>
      <c r="F10" s="4" t="str">
        <f>TEXT(E10,"mmmm - yyyy")</f>
        <v>March - 2024</v>
      </c>
    </row>
    <row r="11" spans="1:8" x14ac:dyDescent="0.3">
      <c r="B11" s="28">
        <v>200</v>
      </c>
      <c r="C11" s="4" t="str">
        <f>"price is "&amp;TEXT(B11,"$#")</f>
        <v>price is $200</v>
      </c>
      <c r="E11" s="27">
        <v>45383</v>
      </c>
      <c r="F11" s="4" t="str">
        <f>TEXT(E11,"mmmm - yyyy")</f>
        <v>April - 2024</v>
      </c>
    </row>
    <row r="12" spans="1:8" x14ac:dyDescent="0.3">
      <c r="B12" s="28">
        <v>800</v>
      </c>
      <c r="C12" s="4" t="str">
        <f>"price is "&amp;TEXT(B12,"$#")</f>
        <v>price is $800</v>
      </c>
      <c r="E12" s="27">
        <v>45444</v>
      </c>
      <c r="F12" s="4" t="str">
        <f>TEXT(E12,"mmmm - yyyy")</f>
        <v>June - 2024</v>
      </c>
    </row>
    <row r="13" spans="1:8" x14ac:dyDescent="0.3">
      <c r="B13" s="28">
        <v>40</v>
      </c>
      <c r="C13" s="4" t="str">
        <f>"price is "&amp;TEXT(B13,"$#")</f>
        <v>price is $40</v>
      </c>
      <c r="E13" s="27">
        <v>45352</v>
      </c>
      <c r="F13" s="4" t="str">
        <f>TEXT(E13,"mmmm - yyyy")</f>
        <v>March - 2024</v>
      </c>
    </row>
    <row r="16" spans="1:8" x14ac:dyDescent="0.3">
      <c r="B16" s="3"/>
      <c r="C16" s="3"/>
      <c r="E16" s="3" t="s">
        <v>286</v>
      </c>
      <c r="G16" s="3" t="s">
        <v>286</v>
      </c>
      <c r="H16" s="3"/>
    </row>
    <row r="17" spans="2:9" x14ac:dyDescent="0.3">
      <c r="B17" s="27"/>
      <c r="C17" s="4"/>
      <c r="E17" s="27">
        <v>45352</v>
      </c>
      <c r="F17" t="str">
        <f>TEXT(E17,"mmmm-yyyy")</f>
        <v>March-2024</v>
      </c>
      <c r="G17" s="27">
        <v>45352</v>
      </c>
      <c r="H17" s="4" t="str">
        <f>TEXT(G17,"ddd, mmm yyyy")</f>
        <v>Fri, Mar 2024</v>
      </c>
      <c r="I17" t="str">
        <f>TEXT(H17,"dddd")</f>
        <v>Fri, Mar 2024</v>
      </c>
    </row>
    <row r="18" spans="2:9" x14ac:dyDescent="0.3">
      <c r="B18" s="27"/>
      <c r="C18" s="4"/>
      <c r="E18" s="27">
        <v>45383</v>
      </c>
      <c r="F18" t="str">
        <f t="shared" ref="F18:F20" si="0">TEXT(E18,"mmmm-yyyy")</f>
        <v>April-2024</v>
      </c>
      <c r="G18" s="27">
        <v>45383</v>
      </c>
      <c r="H18" s="4" t="str">
        <f>TEXT(G18,"ddd, mmm yyyy")</f>
        <v>Mon, Apr 2024</v>
      </c>
    </row>
    <row r="19" spans="2:9" x14ac:dyDescent="0.3">
      <c r="B19" s="27"/>
      <c r="C19" s="4"/>
      <c r="E19" s="27">
        <v>45444</v>
      </c>
      <c r="F19" t="str">
        <f t="shared" si="0"/>
        <v>June-2024</v>
      </c>
      <c r="G19" s="27">
        <v>45444</v>
      </c>
      <c r="H19" s="4" t="str">
        <f>TEXT(G19,"ddd, mmm yyyy")</f>
        <v>Sat, Jun 2024</v>
      </c>
    </row>
    <row r="20" spans="2:9" x14ac:dyDescent="0.3">
      <c r="B20" s="27"/>
      <c r="C20" s="4"/>
      <c r="E20" s="27">
        <v>45352</v>
      </c>
      <c r="F20" t="str">
        <f t="shared" si="0"/>
        <v>March-2024</v>
      </c>
      <c r="G20" s="27">
        <v>45352</v>
      </c>
      <c r="H20" s="4" t="str">
        <f>TEXT(G20,"ddd, mmm yyyy")</f>
        <v>Fri, Mar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24"/>
  <sheetViews>
    <sheetView zoomScale="130" zoomScaleNormal="130" workbookViewId="0">
      <pane ySplit="1" topLeftCell="A8" activePane="bottomLeft" state="frozen"/>
      <selection pane="bottomLeft" activeCell="C23" sqref="C23:C24"/>
    </sheetView>
  </sheetViews>
  <sheetFormatPr defaultRowHeight="18.75" x14ac:dyDescent="0.3"/>
  <cols>
    <col min="2" max="2" width="14.19921875" customWidth="1"/>
    <col min="3" max="3" width="15.8984375" bestFit="1" customWidth="1"/>
    <col min="5" max="5" width="13.296875" bestFit="1" customWidth="1"/>
  </cols>
  <sheetData>
    <row r="1" spans="1:5" s="2" customFormat="1" ht="32.65" customHeight="1" thickBot="1" x14ac:dyDescent="0.35">
      <c r="A1" s="36">
        <v>33</v>
      </c>
      <c r="B1" s="1" t="s">
        <v>287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83</v>
      </c>
      <c r="E3" s="38"/>
    </row>
    <row r="4" spans="1:5" x14ac:dyDescent="0.3">
      <c r="B4" s="39" t="s">
        <v>288</v>
      </c>
      <c r="C4" s="39" t="str">
        <f>UPPER(B4)</f>
        <v>BREAD</v>
      </c>
    </row>
    <row r="5" spans="1:5" x14ac:dyDescent="0.3">
      <c r="B5" s="39" t="s">
        <v>135</v>
      </c>
      <c r="C5" s="39" t="str">
        <f t="shared" ref="C5:C12" si="0">UPPER(B5)</f>
        <v>CHIPS</v>
      </c>
    </row>
    <row r="6" spans="1:5" x14ac:dyDescent="0.3">
      <c r="B6" s="39" t="s">
        <v>289</v>
      </c>
      <c r="C6" s="39" t="str">
        <f t="shared" si="0"/>
        <v>JUICE</v>
      </c>
    </row>
    <row r="7" spans="1:5" x14ac:dyDescent="0.3">
      <c r="B7" s="39" t="s">
        <v>290</v>
      </c>
      <c r="C7" s="39" t="str">
        <f t="shared" si="0"/>
        <v>APPLE</v>
      </c>
    </row>
    <row r="8" spans="1:5" x14ac:dyDescent="0.3">
      <c r="B8" s="39" t="s">
        <v>291</v>
      </c>
      <c r="C8" s="39" t="str">
        <f t="shared" si="0"/>
        <v>CAKE</v>
      </c>
    </row>
    <row r="9" spans="1:5" x14ac:dyDescent="0.3">
      <c r="B9" s="39" t="s">
        <v>292</v>
      </c>
      <c r="C9" s="39" t="str">
        <f t="shared" si="0"/>
        <v>RICE</v>
      </c>
    </row>
    <row r="10" spans="1:5" x14ac:dyDescent="0.3">
      <c r="B10" s="39" t="s">
        <v>293</v>
      </c>
      <c r="C10" s="39" t="str">
        <f t="shared" si="0"/>
        <v>JAM</v>
      </c>
    </row>
    <row r="11" spans="1:5" x14ac:dyDescent="0.3">
      <c r="B11" s="39" t="s">
        <v>294</v>
      </c>
      <c r="C11" s="39" t="str">
        <f t="shared" si="0"/>
        <v>NUTS</v>
      </c>
    </row>
    <row r="12" spans="1:5" x14ac:dyDescent="0.3">
      <c r="B12" s="39" t="s">
        <v>295</v>
      </c>
      <c r="C12" s="39" t="str">
        <f t="shared" si="0"/>
        <v>MILK</v>
      </c>
    </row>
    <row r="15" spans="1:5" x14ac:dyDescent="0.3">
      <c r="B15" s="40" t="s">
        <v>83</v>
      </c>
      <c r="C15" s="127" t="s">
        <v>983</v>
      </c>
    </row>
    <row r="16" spans="1:5" x14ac:dyDescent="0.3">
      <c r="B16" s="39" t="s">
        <v>288</v>
      </c>
      <c r="C16" t="str">
        <f>UPPER(B16)</f>
        <v>BREAD</v>
      </c>
    </row>
    <row r="17" spans="2:3" x14ac:dyDescent="0.3">
      <c r="B17" s="39" t="s">
        <v>135</v>
      </c>
      <c r="C17" t="str">
        <f t="shared" ref="C17:C24" si="1">UPPER(B17)</f>
        <v>CHIPS</v>
      </c>
    </row>
    <row r="18" spans="2:3" x14ac:dyDescent="0.3">
      <c r="B18" s="39" t="s">
        <v>289</v>
      </c>
      <c r="C18" t="str">
        <f t="shared" si="1"/>
        <v>JUICE</v>
      </c>
    </row>
    <row r="19" spans="2:3" x14ac:dyDescent="0.3">
      <c r="B19" s="39" t="s">
        <v>290</v>
      </c>
      <c r="C19" t="str">
        <f t="shared" si="1"/>
        <v>APPLE</v>
      </c>
    </row>
    <row r="20" spans="2:3" x14ac:dyDescent="0.3">
      <c r="B20" s="39" t="s">
        <v>291</v>
      </c>
      <c r="C20" t="str">
        <f t="shared" si="1"/>
        <v>CAKE</v>
      </c>
    </row>
    <row r="21" spans="2:3" x14ac:dyDescent="0.3">
      <c r="B21" s="39" t="s">
        <v>292</v>
      </c>
      <c r="C21" t="str">
        <f t="shared" si="1"/>
        <v>RICE</v>
      </c>
    </row>
    <row r="22" spans="2:3" x14ac:dyDescent="0.3">
      <c r="B22" s="39" t="s">
        <v>293</v>
      </c>
      <c r="C22" t="str">
        <f t="shared" si="1"/>
        <v>JAM</v>
      </c>
    </row>
    <row r="23" spans="2:3" x14ac:dyDescent="0.3">
      <c r="B23" s="39" t="s">
        <v>294</v>
      </c>
      <c r="C23" t="str">
        <f t="shared" si="1"/>
        <v>NUTS</v>
      </c>
    </row>
    <row r="24" spans="2:3" x14ac:dyDescent="0.3">
      <c r="B24" s="39" t="s">
        <v>295</v>
      </c>
      <c r="C24" t="str">
        <f t="shared" si="1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24"/>
  <sheetViews>
    <sheetView zoomScale="130" zoomScaleNormal="130" workbookViewId="0">
      <pane ySplit="1" topLeftCell="A8" activePane="bottomLeft" state="frozen"/>
      <selection pane="bottomLeft" activeCell="C16" sqref="C16:C24"/>
    </sheetView>
  </sheetViews>
  <sheetFormatPr defaultRowHeight="18.75" x14ac:dyDescent="0.3"/>
  <cols>
    <col min="2" max="2" width="14" customWidth="1"/>
    <col min="3" max="3" width="14.19921875" customWidth="1"/>
    <col min="5" max="5" width="9.796875" bestFit="1" customWidth="1"/>
  </cols>
  <sheetData>
    <row r="1" spans="1:3" s="2" customFormat="1" ht="32.65" customHeight="1" thickBot="1" x14ac:dyDescent="0.35">
      <c r="A1" s="36">
        <v>34</v>
      </c>
      <c r="B1" s="1" t="s">
        <v>296</v>
      </c>
    </row>
    <row r="2" spans="1:3" x14ac:dyDescent="0.3">
      <c r="A2" s="37" t="s">
        <v>2</v>
      </c>
    </row>
    <row r="3" spans="1:3" x14ac:dyDescent="0.3">
      <c r="B3" s="40" t="s">
        <v>83</v>
      </c>
      <c r="C3" s="3" t="s">
        <v>83</v>
      </c>
    </row>
    <row r="4" spans="1:3" x14ac:dyDescent="0.3">
      <c r="B4" s="39" t="s">
        <v>297</v>
      </c>
      <c r="C4" s="4" t="str">
        <f>LOWER(B4)</f>
        <v>milk</v>
      </c>
    </row>
    <row r="5" spans="1:3" x14ac:dyDescent="0.3">
      <c r="B5" s="39" t="s">
        <v>298</v>
      </c>
      <c r="C5" s="4" t="str">
        <f t="shared" ref="C5:C12" si="0">LOWER(B5)</f>
        <v>butter</v>
      </c>
    </row>
    <row r="6" spans="1:3" x14ac:dyDescent="0.3">
      <c r="B6" s="39" t="s">
        <v>299</v>
      </c>
      <c r="C6" s="4" t="str">
        <f t="shared" si="0"/>
        <v>cheese</v>
      </c>
    </row>
    <row r="7" spans="1:3" x14ac:dyDescent="0.3">
      <c r="B7" s="39" t="s">
        <v>300</v>
      </c>
      <c r="C7" s="4" t="str">
        <f t="shared" si="0"/>
        <v>curd</v>
      </c>
    </row>
    <row r="8" spans="1:3" x14ac:dyDescent="0.3">
      <c r="B8" s="39" t="s">
        <v>301</v>
      </c>
      <c r="C8" s="4" t="str">
        <f t="shared" si="0"/>
        <v>ghee</v>
      </c>
    </row>
    <row r="9" spans="1:3" x14ac:dyDescent="0.3">
      <c r="B9" s="39" t="s">
        <v>302</v>
      </c>
      <c r="C9" s="4" t="str">
        <f t="shared" si="0"/>
        <v>cream</v>
      </c>
    </row>
    <row r="10" spans="1:3" x14ac:dyDescent="0.3">
      <c r="B10" s="39" t="s">
        <v>303</v>
      </c>
      <c r="C10" s="4" t="str">
        <f t="shared" si="0"/>
        <v>paneer</v>
      </c>
    </row>
    <row r="11" spans="1:3" x14ac:dyDescent="0.3">
      <c r="B11" s="39" t="s">
        <v>304</v>
      </c>
      <c r="C11" s="4" t="str">
        <f t="shared" si="0"/>
        <v>lassi</v>
      </c>
    </row>
    <row r="12" spans="1:3" x14ac:dyDescent="0.3">
      <c r="B12" s="39" t="s">
        <v>305</v>
      </c>
      <c r="C12" s="4" t="str">
        <f t="shared" si="0"/>
        <v>buttermilk</v>
      </c>
    </row>
    <row r="15" spans="1:3" x14ac:dyDescent="0.3">
      <c r="B15" s="40" t="s">
        <v>83</v>
      </c>
      <c r="C15" s="127" t="s">
        <v>992</v>
      </c>
    </row>
    <row r="16" spans="1:3" x14ac:dyDescent="0.3">
      <c r="B16" s="39" t="s">
        <v>297</v>
      </c>
      <c r="C16" t="str">
        <f>LOWER(B16)</f>
        <v>milk</v>
      </c>
    </row>
    <row r="17" spans="2:3" x14ac:dyDescent="0.3">
      <c r="B17" s="39" t="s">
        <v>298</v>
      </c>
      <c r="C17" t="str">
        <f t="shared" ref="C17:C24" si="1">LOWER(B17)</f>
        <v>butter</v>
      </c>
    </row>
    <row r="18" spans="2:3" x14ac:dyDescent="0.3">
      <c r="B18" s="39" t="s">
        <v>299</v>
      </c>
      <c r="C18" t="str">
        <f t="shared" si="1"/>
        <v>cheese</v>
      </c>
    </row>
    <row r="19" spans="2:3" x14ac:dyDescent="0.3">
      <c r="B19" s="39" t="s">
        <v>300</v>
      </c>
      <c r="C19" t="str">
        <f t="shared" si="1"/>
        <v>curd</v>
      </c>
    </row>
    <row r="20" spans="2:3" x14ac:dyDescent="0.3">
      <c r="B20" s="39" t="s">
        <v>301</v>
      </c>
      <c r="C20" t="str">
        <f t="shared" si="1"/>
        <v>ghee</v>
      </c>
    </row>
    <row r="21" spans="2:3" x14ac:dyDescent="0.3">
      <c r="B21" s="39" t="s">
        <v>302</v>
      </c>
      <c r="C21" t="str">
        <f t="shared" si="1"/>
        <v>cream</v>
      </c>
    </row>
    <row r="22" spans="2:3" x14ac:dyDescent="0.3">
      <c r="B22" s="39" t="s">
        <v>303</v>
      </c>
      <c r="C22" t="str">
        <f t="shared" si="1"/>
        <v>paneer</v>
      </c>
    </row>
    <row r="23" spans="2:3" x14ac:dyDescent="0.3">
      <c r="B23" s="39" t="s">
        <v>304</v>
      </c>
      <c r="C23" t="str">
        <f t="shared" si="1"/>
        <v>lassi</v>
      </c>
    </row>
    <row r="24" spans="2:3" x14ac:dyDescent="0.3">
      <c r="B24" s="39" t="s">
        <v>305</v>
      </c>
      <c r="C24" t="str">
        <f t="shared" si="1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24"/>
  <sheetViews>
    <sheetView zoomScale="130" zoomScaleNormal="130" workbookViewId="0">
      <pane ySplit="1" topLeftCell="A11" activePane="bottomLeft" state="frozen"/>
      <selection pane="bottomLeft" activeCell="C16" sqref="C16:C23"/>
    </sheetView>
  </sheetViews>
  <sheetFormatPr defaultRowHeight="18.75" x14ac:dyDescent="0.3"/>
  <cols>
    <col min="2" max="2" width="14" customWidth="1"/>
    <col min="3" max="3" width="14.19921875" customWidth="1"/>
    <col min="5" max="5" width="11.09765625" bestFit="1" customWidth="1"/>
  </cols>
  <sheetData>
    <row r="1" spans="1:3" s="2" customFormat="1" ht="32.65" customHeight="1" thickBot="1" x14ac:dyDescent="0.35">
      <c r="A1" s="36">
        <v>35</v>
      </c>
      <c r="B1" s="1" t="s">
        <v>306</v>
      </c>
    </row>
    <row r="2" spans="1:3" x14ac:dyDescent="0.3">
      <c r="A2" s="37" t="s">
        <v>2</v>
      </c>
    </row>
    <row r="3" spans="1:3" x14ac:dyDescent="0.3">
      <c r="B3" s="42" t="s">
        <v>83</v>
      </c>
      <c r="C3" s="42" t="s">
        <v>83</v>
      </c>
    </row>
    <row r="4" spans="1:3" x14ac:dyDescent="0.3">
      <c r="B4" s="39" t="s">
        <v>307</v>
      </c>
      <c r="C4" s="39" t="str">
        <f t="shared" ref="C4:C12" si="0">PROPER(B4)</f>
        <v>Wallet</v>
      </c>
    </row>
    <row r="5" spans="1:3" x14ac:dyDescent="0.3">
      <c r="B5" s="39" t="s">
        <v>308</v>
      </c>
      <c r="C5" s="39" t="str">
        <f t="shared" si="0"/>
        <v>Sunglasses</v>
      </c>
    </row>
    <row r="6" spans="1:3" x14ac:dyDescent="0.3">
      <c r="B6" s="39" t="s">
        <v>309</v>
      </c>
      <c r="C6" s="39" t="str">
        <f t="shared" si="0"/>
        <v>Watch</v>
      </c>
    </row>
    <row r="7" spans="1:3" x14ac:dyDescent="0.3">
      <c r="B7" s="39" t="s">
        <v>310</v>
      </c>
      <c r="C7" s="39" t="str">
        <f t="shared" si="0"/>
        <v>Belt</v>
      </c>
    </row>
    <row r="8" spans="1:3" x14ac:dyDescent="0.3">
      <c r="B8" s="39" t="s">
        <v>311</v>
      </c>
      <c r="C8" s="39" t="str">
        <f t="shared" si="0"/>
        <v>Shoes</v>
      </c>
    </row>
    <row r="9" spans="1:3" x14ac:dyDescent="0.3">
      <c r="B9" s="39" t="s">
        <v>312</v>
      </c>
      <c r="C9" s="39" t="str">
        <f t="shared" si="0"/>
        <v>Tie</v>
      </c>
    </row>
    <row r="10" spans="1:3" x14ac:dyDescent="0.3">
      <c r="B10" s="39" t="s">
        <v>313</v>
      </c>
      <c r="C10" s="39" t="str">
        <f t="shared" si="0"/>
        <v>Backpack</v>
      </c>
    </row>
    <row r="11" spans="1:3" x14ac:dyDescent="0.3">
      <c r="B11" s="39" t="s">
        <v>314</v>
      </c>
      <c r="C11" s="39" t="str">
        <f t="shared" si="0"/>
        <v>Cap</v>
      </c>
    </row>
    <row r="12" spans="1:3" x14ac:dyDescent="0.3">
      <c r="B12" s="39" t="s">
        <v>315</v>
      </c>
      <c r="C12" s="39" t="str">
        <f t="shared" si="0"/>
        <v>Perfume</v>
      </c>
    </row>
    <row r="15" spans="1:3" x14ac:dyDescent="0.3">
      <c r="B15" s="42" t="s">
        <v>83</v>
      </c>
      <c r="C15" s="127" t="s">
        <v>992</v>
      </c>
    </row>
    <row r="16" spans="1:3" x14ac:dyDescent="0.3">
      <c r="B16" s="39" t="s">
        <v>307</v>
      </c>
      <c r="C16" t="str">
        <f>PROPER(B16)</f>
        <v>Wallet</v>
      </c>
    </row>
    <row r="17" spans="2:3" x14ac:dyDescent="0.3">
      <c r="B17" s="39" t="s">
        <v>308</v>
      </c>
      <c r="C17" t="str">
        <f t="shared" ref="C17:C23" si="1">PROPER(B17)</f>
        <v>Sunglasses</v>
      </c>
    </row>
    <row r="18" spans="2:3" x14ac:dyDescent="0.3">
      <c r="B18" s="39" t="s">
        <v>309</v>
      </c>
      <c r="C18" t="str">
        <f t="shared" si="1"/>
        <v>Watch</v>
      </c>
    </row>
    <row r="19" spans="2:3" x14ac:dyDescent="0.3">
      <c r="B19" s="39" t="s">
        <v>310</v>
      </c>
      <c r="C19" t="str">
        <f t="shared" si="1"/>
        <v>Belt</v>
      </c>
    </row>
    <row r="20" spans="2:3" x14ac:dyDescent="0.3">
      <c r="B20" s="39" t="s">
        <v>311</v>
      </c>
      <c r="C20" t="str">
        <f t="shared" si="1"/>
        <v>Shoes</v>
      </c>
    </row>
    <row r="21" spans="2:3" x14ac:dyDescent="0.3">
      <c r="B21" s="39" t="s">
        <v>312</v>
      </c>
      <c r="C21" t="str">
        <f t="shared" si="1"/>
        <v>Tie</v>
      </c>
    </row>
    <row r="22" spans="2:3" x14ac:dyDescent="0.3">
      <c r="B22" s="39" t="s">
        <v>313</v>
      </c>
      <c r="C22" t="str">
        <f t="shared" si="1"/>
        <v>Backpack</v>
      </c>
    </row>
    <row r="23" spans="2:3" x14ac:dyDescent="0.3">
      <c r="B23" s="39" t="s">
        <v>314</v>
      </c>
      <c r="C23" t="str">
        <f t="shared" si="1"/>
        <v>Cap</v>
      </c>
    </row>
    <row r="24" spans="2:3" x14ac:dyDescent="0.3">
      <c r="B24" s="39" t="s">
        <v>315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16"/>
  <sheetViews>
    <sheetView zoomScale="130" zoomScaleNormal="130" workbookViewId="0">
      <pane ySplit="1" topLeftCell="A2" activePane="bottomLeft" state="frozen"/>
      <selection pane="bottomLeft" activeCell="E12" sqref="E12:E16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36</v>
      </c>
      <c r="B1" s="1" t="s">
        <v>316</v>
      </c>
    </row>
    <row r="2" spans="1:5" x14ac:dyDescent="0.3">
      <c r="A2" s="37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CONCATENATE(B4&amp;"_"&amp;C4&amp;"_"&amp;D4)</f>
        <v>raj_kumar_singh</v>
      </c>
    </row>
    <row r="5" spans="1:5" x14ac:dyDescent="0.3">
      <c r="B5" s="4" t="s">
        <v>324</v>
      </c>
      <c r="C5" s="4"/>
      <c r="D5" s="4" t="s">
        <v>325</v>
      </c>
      <c r="E5" s="4" t="str">
        <f>CONCATENATE(B5&amp;" "&amp;C5&amp;" "&amp;D5)</f>
        <v>Monu  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CONCATENATE(B6&amp;" "&amp;C6&amp;" "&amp;D6)</f>
        <v>JK rakesh 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CONCATENATE(B7&amp;" "&amp;C7&amp;" "&amp;D7)</f>
        <v>Raju Singh Tewatia</v>
      </c>
    </row>
    <row r="8" spans="1:5" x14ac:dyDescent="0.3">
      <c r="B8" s="4" t="s">
        <v>331</v>
      </c>
      <c r="C8" s="4"/>
      <c r="D8" s="4" t="s">
        <v>332</v>
      </c>
      <c r="E8" s="4" t="str">
        <f>CONCATENATE(B8&amp;" "&amp;C8&amp;" "&amp;D8)</f>
        <v>amit  jain</v>
      </c>
    </row>
    <row r="11" spans="1:5" x14ac:dyDescent="0.3">
      <c r="B11" s="3" t="s">
        <v>317</v>
      </c>
      <c r="C11" s="3" t="s">
        <v>318</v>
      </c>
      <c r="D11" s="3" t="s">
        <v>319</v>
      </c>
      <c r="E11" s="144" t="s">
        <v>993</v>
      </c>
    </row>
    <row r="12" spans="1:5" x14ac:dyDescent="0.3">
      <c r="B12" s="4" t="s">
        <v>321</v>
      </c>
      <c r="C12" s="4" t="s">
        <v>322</v>
      </c>
      <c r="D12" s="4" t="s">
        <v>323</v>
      </c>
      <c r="E12" t="str">
        <f>CONCATENATE(B12&amp;"_",C12&amp;"_",D12&amp;"_")</f>
        <v>raj_kumar_singh_</v>
      </c>
    </row>
    <row r="13" spans="1:5" x14ac:dyDescent="0.3">
      <c r="B13" s="4" t="s">
        <v>324</v>
      </c>
      <c r="C13" s="4"/>
      <c r="D13" s="4" t="s">
        <v>325</v>
      </c>
      <c r="E13" t="str">
        <f t="shared" ref="E13:E16" si="0">CONCATENATE(B13&amp;"_",C13&amp;"_",D13&amp;"_")</f>
        <v>Monu__Sharma_</v>
      </c>
    </row>
    <row r="14" spans="1:5" x14ac:dyDescent="0.3">
      <c r="B14" s="4" t="s">
        <v>326</v>
      </c>
      <c r="C14" s="4" t="s">
        <v>327</v>
      </c>
      <c r="D14" s="4" t="s">
        <v>322</v>
      </c>
      <c r="E14" t="str">
        <f t="shared" si="0"/>
        <v>JK_rakesh_kumar_</v>
      </c>
    </row>
    <row r="15" spans="1:5" x14ac:dyDescent="0.3">
      <c r="B15" s="4" t="s">
        <v>328</v>
      </c>
      <c r="C15" s="4" t="s">
        <v>329</v>
      </c>
      <c r="D15" s="4" t="s">
        <v>330</v>
      </c>
      <c r="E15" t="str">
        <f t="shared" si="0"/>
        <v>Raju_Singh_Tewatia_</v>
      </c>
    </row>
    <row r="16" spans="1:5" x14ac:dyDescent="0.3">
      <c r="B16" s="4" t="s">
        <v>331</v>
      </c>
      <c r="C16" s="4"/>
      <c r="D16" s="4" t="s">
        <v>332</v>
      </c>
      <c r="E16" t="str">
        <f t="shared" si="0"/>
        <v>amit__jain_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20"/>
  <sheetViews>
    <sheetView zoomScale="130" zoomScaleNormal="130" workbookViewId="0">
      <pane ySplit="1" topLeftCell="A5" activePane="bottomLeft" state="frozen"/>
      <selection pane="bottomLeft" activeCell="E16" sqref="E16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37</v>
      </c>
      <c r="B1" s="1" t="s">
        <v>333</v>
      </c>
    </row>
    <row r="2" spans="1:5" x14ac:dyDescent="0.3">
      <c r="A2" s="37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B4&amp;" "&amp;C4&amp;" "&amp;D4</f>
        <v>raj kumar singh</v>
      </c>
    </row>
    <row r="5" spans="1:5" x14ac:dyDescent="0.3">
      <c r="B5" s="4" t="s">
        <v>324</v>
      </c>
      <c r="C5" s="4"/>
      <c r="D5" s="4" t="s">
        <v>325</v>
      </c>
      <c r="E5" s="4" t="str">
        <f>B5&amp;" "&amp;C5&amp;" "&amp;D5</f>
        <v>Monu  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B6&amp;" "&amp;C6&amp;" "&amp;D6</f>
        <v>JK rakesh 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B7&amp;" "&amp;C7&amp;" "&amp;D7</f>
        <v>Raju Singh Tewatia</v>
      </c>
    </row>
    <row r="8" spans="1:5" x14ac:dyDescent="0.3">
      <c r="B8" s="4" t="s">
        <v>331</v>
      </c>
      <c r="C8" s="4"/>
      <c r="D8" s="4" t="s">
        <v>332</v>
      </c>
      <c r="E8" s="4" t="str">
        <f>B8&amp;" "&amp;C8&amp;" "&amp;D8</f>
        <v>amit  jain</v>
      </c>
    </row>
    <row r="10" spans="1:5" x14ac:dyDescent="0.3">
      <c r="B10" t="s">
        <v>96</v>
      </c>
    </row>
    <row r="11" spans="1:5" x14ac:dyDescent="0.3">
      <c r="B11">
        <v>550</v>
      </c>
      <c r="C11" t="str">
        <f>"Price is = "&amp;B11</f>
        <v>Price is = 550</v>
      </c>
    </row>
    <row r="12" spans="1:5" x14ac:dyDescent="0.3">
      <c r="B12">
        <v>345</v>
      </c>
      <c r="C12" t="str">
        <f>"Price is = "&amp;B12</f>
        <v>Price is = 345</v>
      </c>
    </row>
    <row r="13" spans="1:5" x14ac:dyDescent="0.3">
      <c r="B13">
        <v>33</v>
      </c>
      <c r="C13" t="str">
        <f>"Price is = "&amp;B13</f>
        <v>Price is = 33</v>
      </c>
    </row>
    <row r="15" spans="1:5" x14ac:dyDescent="0.3">
      <c r="B15" s="3" t="s">
        <v>317</v>
      </c>
      <c r="C15" s="3" t="s">
        <v>318</v>
      </c>
      <c r="D15" s="3" t="s">
        <v>319</v>
      </c>
      <c r="E15" s="144" t="s">
        <v>993</v>
      </c>
    </row>
    <row r="16" spans="1:5" x14ac:dyDescent="0.3">
      <c r="B16" s="4" t="s">
        <v>321</v>
      </c>
      <c r="C16" s="4" t="s">
        <v>322</v>
      </c>
      <c r="D16" s="4" t="s">
        <v>323</v>
      </c>
      <c r="E16" s="4" t="str">
        <f>B16&amp;" "&amp;C16&amp;" "&amp;D16</f>
        <v>raj kumar singh</v>
      </c>
    </row>
    <row r="17" spans="2:5" x14ac:dyDescent="0.3">
      <c r="B17" s="4" t="s">
        <v>324</v>
      </c>
      <c r="C17" s="4"/>
      <c r="D17" s="4" t="s">
        <v>325</v>
      </c>
      <c r="E17" s="4" t="str">
        <f>B17&amp;" "&amp;C17&amp;" "&amp;D17</f>
        <v>Monu  Sharma</v>
      </c>
    </row>
    <row r="18" spans="2:5" x14ac:dyDescent="0.3">
      <c r="B18" s="4" t="s">
        <v>326</v>
      </c>
      <c r="C18" s="4" t="s">
        <v>327</v>
      </c>
      <c r="D18" s="4" t="s">
        <v>322</v>
      </c>
      <c r="E18" s="4" t="str">
        <f>B18&amp;" "&amp;C18&amp;" "&amp;D18</f>
        <v>JK rakesh kumar</v>
      </c>
    </row>
    <row r="19" spans="2:5" x14ac:dyDescent="0.3">
      <c r="B19" s="4" t="s">
        <v>328</v>
      </c>
      <c r="C19" s="4" t="s">
        <v>329</v>
      </c>
      <c r="D19" s="4" t="s">
        <v>330</v>
      </c>
      <c r="E19" s="4" t="str">
        <f>B19&amp;" "&amp;C19&amp;" "&amp;D19</f>
        <v>Raju Singh Tewatia</v>
      </c>
    </row>
    <row r="20" spans="2:5" x14ac:dyDescent="0.3">
      <c r="B20" s="4" t="s">
        <v>331</v>
      </c>
      <c r="C20" s="4"/>
      <c r="D20" s="4" t="s">
        <v>332</v>
      </c>
      <c r="E20" s="4" t="str">
        <f>B20&amp;" "&amp;C20&amp;" "&amp;D20</f>
        <v>amit  jain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17"/>
  <sheetViews>
    <sheetView zoomScale="130" zoomScaleNormal="130" workbookViewId="0">
      <pane ySplit="1" topLeftCell="A2" activePane="bottomLeft" state="frozen"/>
      <selection pane="bottomLeft" activeCell="E13" sqref="E13:E17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38</v>
      </c>
      <c r="B1" s="1" t="s">
        <v>334</v>
      </c>
    </row>
    <row r="2" spans="1:5" x14ac:dyDescent="0.3">
      <c r="A2" s="37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_xlfn.TEXTJOIN("_",TRUE,B4:D4)</f>
        <v>raj_kumar_singh</v>
      </c>
    </row>
    <row r="5" spans="1:5" x14ac:dyDescent="0.3">
      <c r="B5" s="4" t="s">
        <v>324</v>
      </c>
      <c r="C5" s="4"/>
      <c r="D5" s="4" t="s">
        <v>325</v>
      </c>
      <c r="E5" s="4" t="str">
        <f>_xlfn.TEXTJOIN("_",TRUE,B5:D5)</f>
        <v>Monu_Sharma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_xlfn.TEXTJOIN("_",TRUE,B6:D6)</f>
        <v>JK_rakesh_kumar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_xlfn.TEXTJOIN("_",TRUE,B7:D7)</f>
        <v>Raju_Singh_Tewatia</v>
      </c>
    </row>
    <row r="8" spans="1:5" x14ac:dyDescent="0.3">
      <c r="B8" s="4" t="s">
        <v>331</v>
      </c>
      <c r="C8" s="4"/>
      <c r="D8" s="4" t="s">
        <v>332</v>
      </c>
      <c r="E8" s="4" t="str">
        <f>_xlfn.TEXTJOIN("_",TRUE,B8:D8)</f>
        <v>amit_jain</v>
      </c>
    </row>
    <row r="12" spans="1:5" x14ac:dyDescent="0.3">
      <c r="B12" s="3" t="s">
        <v>317</v>
      </c>
      <c r="C12" s="3" t="s">
        <v>318</v>
      </c>
      <c r="D12" s="3" t="s">
        <v>319</v>
      </c>
      <c r="E12" s="144" t="s">
        <v>994</v>
      </c>
    </row>
    <row r="13" spans="1:5" x14ac:dyDescent="0.3">
      <c r="B13" s="4" t="s">
        <v>321</v>
      </c>
      <c r="C13" s="4" t="s">
        <v>322</v>
      </c>
      <c r="D13" s="4" t="s">
        <v>323</v>
      </c>
      <c r="E13" t="str">
        <f>_xlfn.TEXTJOIN("_",TRUE,(B13:D13))</f>
        <v>raj_kumar_singh</v>
      </c>
    </row>
    <row r="14" spans="1:5" x14ac:dyDescent="0.3">
      <c r="B14" s="4" t="s">
        <v>324</v>
      </c>
      <c r="C14" s="4"/>
      <c r="D14" s="4" t="s">
        <v>325</v>
      </c>
      <c r="E14" t="str">
        <f t="shared" ref="E14:E17" si="0">_xlfn.TEXTJOIN("_",TRUE,(B14:D14))</f>
        <v>Monu_Sharma</v>
      </c>
    </row>
    <row r="15" spans="1:5" x14ac:dyDescent="0.3">
      <c r="B15" s="4" t="s">
        <v>326</v>
      </c>
      <c r="C15" s="4" t="s">
        <v>327</v>
      </c>
      <c r="D15" s="4" t="s">
        <v>322</v>
      </c>
      <c r="E15" t="str">
        <f t="shared" si="0"/>
        <v>JK_rakesh_kumar</v>
      </c>
    </row>
    <row r="16" spans="1:5" x14ac:dyDescent="0.3">
      <c r="B16" s="4" t="s">
        <v>328</v>
      </c>
      <c r="C16" s="4" t="s">
        <v>329</v>
      </c>
      <c r="D16" s="4" t="s">
        <v>330</v>
      </c>
      <c r="E16" t="str">
        <f t="shared" si="0"/>
        <v>Raju_Singh_Tewatia</v>
      </c>
    </row>
    <row r="17" spans="2:5" x14ac:dyDescent="0.3">
      <c r="B17" s="4" t="s">
        <v>331</v>
      </c>
      <c r="C17" s="4"/>
      <c r="D17" s="4" t="s">
        <v>332</v>
      </c>
      <c r="E17" t="str">
        <f t="shared" si="0"/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8"/>
  <sheetViews>
    <sheetView zoomScale="130" zoomScaleNormal="130" workbookViewId="0">
      <pane ySplit="1" topLeftCell="A2" activePane="bottomLeft" state="frozen"/>
      <selection pane="bottomLeft" activeCell="C15" sqref="C15:C17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5" s="2" customFormat="1" ht="32.65" customHeight="1" thickBot="1" x14ac:dyDescent="0.35">
      <c r="A1" s="36">
        <v>39</v>
      </c>
      <c r="B1" s="1" t="s">
        <v>335</v>
      </c>
    </row>
    <row r="2" spans="1:5" x14ac:dyDescent="0.3">
      <c r="A2" s="37" t="s">
        <v>2</v>
      </c>
    </row>
    <row r="3" spans="1:5" x14ac:dyDescent="0.3">
      <c r="B3" s="3" t="s">
        <v>336</v>
      </c>
      <c r="C3" s="3" t="s">
        <v>337</v>
      </c>
    </row>
    <row r="4" spans="1:5" x14ac:dyDescent="0.3">
      <c r="B4" s="4" t="s">
        <v>338</v>
      </c>
      <c r="C4" s="4" t="str">
        <f>LEFT(B4,6)</f>
        <v>110062</v>
      </c>
    </row>
    <row r="5" spans="1:5" x14ac:dyDescent="0.3">
      <c r="B5" s="4" t="s">
        <v>339</v>
      </c>
      <c r="C5" s="4" t="str">
        <f>LEFT(B5,6)</f>
        <v>121102</v>
      </c>
    </row>
    <row r="6" spans="1:5" x14ac:dyDescent="0.3">
      <c r="B6" s="4" t="s">
        <v>340</v>
      </c>
      <c r="C6" s="4" t="str">
        <f>LEFT(B6,6)</f>
        <v>140003</v>
      </c>
    </row>
    <row r="7" spans="1:5" x14ac:dyDescent="0.3">
      <c r="B7" s="4" t="s">
        <v>341</v>
      </c>
      <c r="C7" s="4" t="str">
        <f>LEFT(B7,6)</f>
        <v>121102</v>
      </c>
    </row>
    <row r="9" spans="1:5" x14ac:dyDescent="0.3">
      <c r="B9" t="s">
        <v>342</v>
      </c>
      <c r="C9">
        <f>FIND(",",B9)-1</f>
        <v>5</v>
      </c>
      <c r="E9" t="str">
        <f>LEFT(B9,FIND(",",B9)-1)</f>
        <v>delhi</v>
      </c>
    </row>
    <row r="10" spans="1:5" x14ac:dyDescent="0.3">
      <c r="B10" t="s">
        <v>343</v>
      </c>
      <c r="C10">
        <f>FIND(",",B10)</f>
        <v>10</v>
      </c>
      <c r="E10" t="str">
        <f>LEFT(B10,FIND(",",B10)-1)</f>
        <v>faridabad</v>
      </c>
    </row>
    <row r="11" spans="1:5" x14ac:dyDescent="0.3">
      <c r="B11" t="s">
        <v>344</v>
      </c>
      <c r="C11">
        <f>FIND(",",B11)</f>
        <v>7</v>
      </c>
      <c r="E11" t="str">
        <f>LEFT(B11,FIND(",",B11)-1)</f>
        <v>palwal</v>
      </c>
    </row>
    <row r="14" spans="1:5" x14ac:dyDescent="0.3">
      <c r="B14" s="3" t="s">
        <v>336</v>
      </c>
      <c r="C14" t="s">
        <v>995</v>
      </c>
    </row>
    <row r="15" spans="1:5" x14ac:dyDescent="0.3">
      <c r="B15" s="4" t="s">
        <v>338</v>
      </c>
      <c r="C15" t="str">
        <f>LEFT(B15,15)</f>
        <v>110062,delhi,99</v>
      </c>
    </row>
    <row r="16" spans="1:5" x14ac:dyDescent="0.3">
      <c r="B16" s="4" t="s">
        <v>339</v>
      </c>
      <c r="C16" t="str">
        <f t="shared" ref="C16:C17" si="0">LEFT(B16,15)</f>
        <v>121102,palwal,4</v>
      </c>
    </row>
    <row r="17" spans="2:3" x14ac:dyDescent="0.3">
      <c r="B17" s="4" t="s">
        <v>340</v>
      </c>
      <c r="C17" t="str">
        <f t="shared" si="0"/>
        <v>140003,punjab,3</v>
      </c>
    </row>
    <row r="18" spans="2:3" x14ac:dyDescent="0.3">
      <c r="B18" s="4" t="s">
        <v>341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9"/>
  <sheetViews>
    <sheetView zoomScale="130" zoomScaleNormal="130" workbookViewId="0">
      <pane ySplit="1" topLeftCell="A2" activePane="bottomLeft" state="frozen"/>
      <selection pane="bottomLeft" activeCell="C16" sqref="C16:C19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40</v>
      </c>
      <c r="B1" s="1" t="s">
        <v>345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str">
        <f>RIGHT(B4,10)</f>
        <v>9999999999</v>
      </c>
    </row>
    <row r="5" spans="1:3" x14ac:dyDescent="0.3">
      <c r="B5" s="4" t="s">
        <v>339</v>
      </c>
      <c r="C5" s="4" t="str">
        <f>RIGHT(B5,10)</f>
        <v>4444444444</v>
      </c>
    </row>
    <row r="6" spans="1:3" x14ac:dyDescent="0.3">
      <c r="B6" s="4" t="s">
        <v>340</v>
      </c>
      <c r="C6" s="4" t="str">
        <f>RIGHT(B6,10)</f>
        <v>3333333333</v>
      </c>
    </row>
    <row r="7" spans="1:3" x14ac:dyDescent="0.3">
      <c r="B7" s="4" t="s">
        <v>341</v>
      </c>
      <c r="C7" s="4" t="str">
        <f>RIGHT(B7,10)</f>
        <v>4456555555</v>
      </c>
    </row>
    <row r="8" spans="1:3" x14ac:dyDescent="0.3">
      <c r="C8" s="4" t="str">
        <f>RIGHT(B8,10)</f>
        <v/>
      </c>
    </row>
    <row r="9" spans="1:3" x14ac:dyDescent="0.3">
      <c r="B9" t="s">
        <v>346</v>
      </c>
    </row>
    <row r="10" spans="1:3" x14ac:dyDescent="0.3">
      <c r="B10">
        <v>91224567890</v>
      </c>
      <c r="C10" t="str">
        <f>LEFT(B10,4)&amp;"****"&amp;RIGHT(B10,3)</f>
        <v>9122****890</v>
      </c>
    </row>
    <row r="11" spans="1:3" x14ac:dyDescent="0.3">
      <c r="B11">
        <v>91224567891</v>
      </c>
      <c r="C11" t="str">
        <f>LEFT(B11,4)&amp;"****"&amp;RIGHT(B11,3)</f>
        <v>9122****891</v>
      </c>
    </row>
    <row r="12" spans="1:3" x14ac:dyDescent="0.3">
      <c r="B12">
        <v>91224567892</v>
      </c>
      <c r="C12" t="str">
        <f>LEFT(B12,4)&amp;"****"&amp;RIGHT(B12,3)</f>
        <v>9122****892</v>
      </c>
    </row>
    <row r="13" spans="1:3" x14ac:dyDescent="0.3">
      <c r="B13">
        <v>91224567893</v>
      </c>
      <c r="C13" t="str">
        <f>LEFT(B13,4)&amp;"****"&amp;RIGHT(B13,3)</f>
        <v>9122****893</v>
      </c>
    </row>
    <row r="15" spans="1:3" x14ac:dyDescent="0.3">
      <c r="B15" s="3" t="s">
        <v>336</v>
      </c>
      <c r="C15" s="127" t="s">
        <v>996</v>
      </c>
    </row>
    <row r="16" spans="1:3" x14ac:dyDescent="0.3">
      <c r="B16" s="4" t="s">
        <v>338</v>
      </c>
      <c r="C16" t="str">
        <f>RIGHT(B16,9)</f>
        <v>999999999</v>
      </c>
    </row>
    <row r="17" spans="2:3" x14ac:dyDescent="0.3">
      <c r="B17" s="4" t="s">
        <v>339</v>
      </c>
      <c r="C17" t="str">
        <f t="shared" ref="C17:C19" si="0">RIGHT(B17,9)</f>
        <v>444444444</v>
      </c>
    </row>
    <row r="18" spans="2:3" x14ac:dyDescent="0.3">
      <c r="B18" s="4" t="s">
        <v>340</v>
      </c>
      <c r="C18" t="str">
        <f t="shared" si="0"/>
        <v>333333333</v>
      </c>
    </row>
    <row r="19" spans="2:3" x14ac:dyDescent="0.3">
      <c r="B19" s="4" t="s">
        <v>341</v>
      </c>
      <c r="C19" t="str">
        <f t="shared" si="0"/>
        <v>456555555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14"/>
  <sheetViews>
    <sheetView zoomScale="130" zoomScaleNormal="130" workbookViewId="0">
      <pane ySplit="1" topLeftCell="A2" activePane="bottomLeft" state="frozen"/>
      <selection pane="bottomLeft" activeCell="C11" sqref="C11:C14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41</v>
      </c>
      <c r="B1" s="1" t="s">
        <v>347</v>
      </c>
    </row>
    <row r="2" spans="1:3" x14ac:dyDescent="0.3">
      <c r="A2" s="37" t="s">
        <v>2</v>
      </c>
    </row>
    <row r="3" spans="1:3" x14ac:dyDescent="0.3">
      <c r="B3" s="3" t="s">
        <v>348</v>
      </c>
      <c r="C3" s="3"/>
    </row>
    <row r="4" spans="1:3" x14ac:dyDescent="0.3">
      <c r="B4" s="4" t="s">
        <v>349</v>
      </c>
      <c r="C4" s="4" t="str">
        <f>MID(B4,7,7)</f>
        <v>2343454</v>
      </c>
    </row>
    <row r="5" spans="1:3" x14ac:dyDescent="0.3">
      <c r="B5" s="4" t="s">
        <v>350</v>
      </c>
      <c r="C5" s="4" t="str">
        <f>MID(B5,7,7)</f>
        <v>2343455</v>
      </c>
    </row>
    <row r="6" spans="1:3" x14ac:dyDescent="0.3">
      <c r="B6" s="4" t="s">
        <v>351</v>
      </c>
      <c r="C6" s="4" t="str">
        <f>MID(B6,7,7)</f>
        <v>2343456</v>
      </c>
    </row>
    <row r="7" spans="1:3" x14ac:dyDescent="0.3">
      <c r="B7" s="4" t="s">
        <v>352</v>
      </c>
      <c r="C7" s="4" t="str">
        <f>MID(B7,7,7)</f>
        <v>2343457</v>
      </c>
    </row>
    <row r="10" spans="1:3" x14ac:dyDescent="0.3">
      <c r="B10" s="3" t="s">
        <v>348</v>
      </c>
    </row>
    <row r="11" spans="1:3" x14ac:dyDescent="0.3">
      <c r="B11" s="4" t="s">
        <v>349</v>
      </c>
      <c r="C11" t="str">
        <f>MID(B11,7,7)</f>
        <v>2343454</v>
      </c>
    </row>
    <row r="12" spans="1:3" x14ac:dyDescent="0.3">
      <c r="B12" s="4" t="s">
        <v>350</v>
      </c>
      <c r="C12" t="str">
        <f t="shared" ref="C12:C14" si="0">MID(B12,7,7)</f>
        <v>2343455</v>
      </c>
    </row>
    <row r="13" spans="1:3" x14ac:dyDescent="0.3">
      <c r="B13" s="4" t="s">
        <v>351</v>
      </c>
      <c r="C13" t="str">
        <f t="shared" si="0"/>
        <v>2343456</v>
      </c>
    </row>
    <row r="14" spans="1:3" x14ac:dyDescent="0.3">
      <c r="B14" s="4" t="s">
        <v>352</v>
      </c>
      <c r="C14" t="str">
        <f t="shared" si="0"/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23" activePane="bottomLeft" state="frozen"/>
      <selection pane="bottomLeft" activeCell="C24" sqref="C24:C27"/>
    </sheetView>
  </sheetViews>
  <sheetFormatPr defaultRowHeight="18.75" x14ac:dyDescent="0.3"/>
  <cols>
    <col min="1" max="1" width="10.3984375" bestFit="1" customWidth="1"/>
    <col min="2" max="2" width="25.796875" customWidth="1"/>
    <col min="3" max="3" width="17.3984375" customWidth="1"/>
    <col min="4" max="4" width="17.8984375" customWidth="1"/>
    <col min="5" max="5" width="26.19921875" customWidth="1"/>
  </cols>
  <sheetData>
    <row r="1" spans="1:15" s="2" customFormat="1" ht="32.65" customHeight="1" thickBot="1" x14ac:dyDescent="0.35">
      <c r="A1" s="36">
        <v>42</v>
      </c>
      <c r="B1" s="1" t="s">
        <v>353</v>
      </c>
      <c r="C1" s="1" t="s">
        <v>354</v>
      </c>
    </row>
    <row r="2" spans="1:15" ht="19.5" thickBot="1" x14ac:dyDescent="0.35">
      <c r="A2" s="37" t="s">
        <v>2</v>
      </c>
      <c r="F2" t="s">
        <v>355</v>
      </c>
      <c r="H2" s="67" t="s">
        <v>356</v>
      </c>
      <c r="I2" s="67" t="s">
        <v>317</v>
      </c>
      <c r="J2" s="67" t="s">
        <v>319</v>
      </c>
      <c r="K2" s="67" t="s">
        <v>357</v>
      </c>
      <c r="L2" s="67" t="s">
        <v>84</v>
      </c>
      <c r="M2" s="67" t="s">
        <v>358</v>
      </c>
      <c r="N2" s="67" t="s">
        <v>359</v>
      </c>
      <c r="O2" s="67" t="s">
        <v>252</v>
      </c>
    </row>
    <row r="3" spans="1:15" x14ac:dyDescent="0.3">
      <c r="A3" s="37" t="s">
        <v>955</v>
      </c>
      <c r="B3" s="3" t="s">
        <v>348</v>
      </c>
      <c r="C3" s="4" t="s">
        <v>360</v>
      </c>
      <c r="D3" s="3"/>
      <c r="H3" s="68">
        <v>2</v>
      </c>
      <c r="I3" s="69" t="s">
        <v>361</v>
      </c>
      <c r="J3" s="69" t="s">
        <v>362</v>
      </c>
      <c r="K3" s="69" t="s">
        <v>363</v>
      </c>
      <c r="L3" s="69" t="s">
        <v>221</v>
      </c>
      <c r="M3" s="69" t="s">
        <v>364</v>
      </c>
      <c r="N3" s="70">
        <v>28126</v>
      </c>
      <c r="O3" s="71">
        <v>17500</v>
      </c>
    </row>
    <row r="4" spans="1:15" x14ac:dyDescent="0.3">
      <c r="B4" s="4" t="s">
        <v>349</v>
      </c>
      <c r="C4" s="4">
        <v>2343454</v>
      </c>
      <c r="D4" s="4">
        <v>2343454</v>
      </c>
      <c r="H4" s="68">
        <v>10</v>
      </c>
      <c r="I4" s="69" t="s">
        <v>365</v>
      </c>
      <c r="J4" s="69" t="s">
        <v>366</v>
      </c>
      <c r="K4" s="69" t="s">
        <v>367</v>
      </c>
      <c r="L4" s="69" t="s">
        <v>221</v>
      </c>
      <c r="M4" s="69" t="s">
        <v>368</v>
      </c>
      <c r="N4" s="70">
        <v>28326</v>
      </c>
      <c r="O4" s="71">
        <v>15750</v>
      </c>
    </row>
    <row r="5" spans="1:15" x14ac:dyDescent="0.3">
      <c r="B5" s="4" t="s">
        <v>350</v>
      </c>
      <c r="C5" s="4">
        <v>2343454</v>
      </c>
      <c r="D5" s="4">
        <v>2343454</v>
      </c>
      <c r="H5" s="68">
        <v>13</v>
      </c>
      <c r="I5" s="69" t="s">
        <v>369</v>
      </c>
      <c r="J5" s="69" t="s">
        <v>370</v>
      </c>
      <c r="K5" s="69" t="s">
        <v>371</v>
      </c>
      <c r="L5" s="69" t="s">
        <v>221</v>
      </c>
      <c r="M5" s="69" t="s">
        <v>372</v>
      </c>
      <c r="N5" s="70">
        <v>31027</v>
      </c>
      <c r="O5" s="71">
        <v>19250</v>
      </c>
    </row>
    <row r="6" spans="1:15" x14ac:dyDescent="0.3">
      <c r="B6" s="4" t="s">
        <v>351</v>
      </c>
      <c r="C6" s="4">
        <v>2343454</v>
      </c>
      <c r="D6" s="4">
        <v>2343454</v>
      </c>
      <c r="H6" s="68">
        <v>17</v>
      </c>
      <c r="I6" s="69" t="s">
        <v>373</v>
      </c>
      <c r="J6" s="69" t="s">
        <v>374</v>
      </c>
      <c r="K6" s="69" t="s">
        <v>375</v>
      </c>
      <c r="L6" s="69" t="s">
        <v>221</v>
      </c>
      <c r="M6" s="69" t="s">
        <v>364</v>
      </c>
      <c r="N6" s="70">
        <v>30376</v>
      </c>
      <c r="O6" s="71">
        <v>15750</v>
      </c>
    </row>
    <row r="7" spans="1:15" x14ac:dyDescent="0.3">
      <c r="B7" s="4" t="s">
        <v>352</v>
      </c>
      <c r="C7" s="4">
        <v>2343454</v>
      </c>
      <c r="D7" s="4">
        <v>2343454</v>
      </c>
      <c r="H7" s="68">
        <v>21</v>
      </c>
      <c r="I7" s="69" t="s">
        <v>376</v>
      </c>
      <c r="J7" s="69" t="s">
        <v>377</v>
      </c>
      <c r="K7" s="69" t="s">
        <v>367</v>
      </c>
      <c r="L7" s="69" t="s">
        <v>221</v>
      </c>
      <c r="M7" s="69" t="s">
        <v>378</v>
      </c>
      <c r="N7" s="70">
        <v>36317</v>
      </c>
      <c r="O7" s="71">
        <v>7875</v>
      </c>
    </row>
    <row r="8" spans="1:15" x14ac:dyDescent="0.3">
      <c r="H8" s="68">
        <v>26</v>
      </c>
      <c r="I8" s="69" t="s">
        <v>379</v>
      </c>
      <c r="J8" s="69" t="s">
        <v>380</v>
      </c>
      <c r="K8" s="69" t="s">
        <v>363</v>
      </c>
      <c r="L8" s="69" t="s">
        <v>221</v>
      </c>
      <c r="M8" s="69" t="s">
        <v>364</v>
      </c>
      <c r="N8" s="70">
        <v>30225</v>
      </c>
      <c r="O8" s="71">
        <v>19250</v>
      </c>
    </row>
    <row r="9" spans="1:15" x14ac:dyDescent="0.3">
      <c r="B9" s="3" t="s">
        <v>336</v>
      </c>
      <c r="C9" s="3" t="s">
        <v>381</v>
      </c>
      <c r="D9" s="3" t="s">
        <v>346</v>
      </c>
      <c r="H9" s="68">
        <v>30</v>
      </c>
      <c r="I9" s="69" t="s">
        <v>382</v>
      </c>
      <c r="J9" s="69" t="s">
        <v>383</v>
      </c>
      <c r="K9" s="69" t="s">
        <v>384</v>
      </c>
      <c r="L9" s="69" t="s">
        <v>221</v>
      </c>
      <c r="M9" s="69" t="s">
        <v>378</v>
      </c>
      <c r="N9" s="70">
        <v>32435</v>
      </c>
      <c r="O9" s="71">
        <v>14175</v>
      </c>
    </row>
    <row r="10" spans="1:15" x14ac:dyDescent="0.3">
      <c r="B10" s="4" t="s">
        <v>338</v>
      </c>
      <c r="C10" s="4" t="s">
        <v>385</v>
      </c>
      <c r="D10" s="4" t="s">
        <v>385</v>
      </c>
      <c r="H10" s="68">
        <v>41</v>
      </c>
      <c r="I10" s="69" t="s">
        <v>386</v>
      </c>
      <c r="J10" s="69" t="s">
        <v>387</v>
      </c>
      <c r="K10" s="69" t="s">
        <v>375</v>
      </c>
      <c r="L10" s="69" t="s">
        <v>221</v>
      </c>
      <c r="M10" s="69" t="s">
        <v>368</v>
      </c>
      <c r="N10" s="70">
        <v>35595</v>
      </c>
      <c r="O10" s="71">
        <v>7875</v>
      </c>
    </row>
    <row r="11" spans="1:15" x14ac:dyDescent="0.3">
      <c r="B11" s="4" t="s">
        <v>339</v>
      </c>
      <c r="C11" s="4" t="s">
        <v>388</v>
      </c>
      <c r="D11" s="4" t="s">
        <v>385</v>
      </c>
      <c r="H11" s="68">
        <v>42</v>
      </c>
      <c r="I11" s="69" t="s">
        <v>389</v>
      </c>
      <c r="J11" s="69" t="s">
        <v>390</v>
      </c>
      <c r="K11" s="69" t="s">
        <v>391</v>
      </c>
      <c r="L11" s="69" t="s">
        <v>221</v>
      </c>
      <c r="M11" s="69" t="s">
        <v>372</v>
      </c>
      <c r="N11" s="70">
        <v>33510</v>
      </c>
      <c r="O11" s="71">
        <v>13300</v>
      </c>
    </row>
    <row r="12" spans="1:15" x14ac:dyDescent="0.3">
      <c r="B12" s="4" t="s">
        <v>340</v>
      </c>
      <c r="C12" s="4" t="s">
        <v>392</v>
      </c>
      <c r="D12" s="4" t="s">
        <v>385</v>
      </c>
      <c r="H12" s="68">
        <v>44</v>
      </c>
      <c r="I12" s="69" t="s">
        <v>393</v>
      </c>
      <c r="J12" s="69" t="s">
        <v>394</v>
      </c>
      <c r="K12" s="69" t="s">
        <v>384</v>
      </c>
      <c r="L12" s="69" t="s">
        <v>221</v>
      </c>
      <c r="M12" s="69" t="s">
        <v>364</v>
      </c>
      <c r="N12" s="70">
        <v>33194</v>
      </c>
      <c r="O12" s="71">
        <v>13825</v>
      </c>
    </row>
    <row r="13" spans="1:15" x14ac:dyDescent="0.3">
      <c r="B13" s="4" t="s">
        <v>341</v>
      </c>
      <c r="C13" s="4" t="s">
        <v>388</v>
      </c>
      <c r="D13" s="4" t="s">
        <v>385</v>
      </c>
      <c r="H13" s="68">
        <v>54</v>
      </c>
      <c r="I13" s="69" t="s">
        <v>395</v>
      </c>
      <c r="J13" s="69" t="s">
        <v>396</v>
      </c>
      <c r="K13" s="69" t="s">
        <v>397</v>
      </c>
      <c r="L13" s="69" t="s">
        <v>221</v>
      </c>
      <c r="M13" s="69" t="s">
        <v>398</v>
      </c>
      <c r="N13" s="70">
        <v>34761</v>
      </c>
      <c r="O13" s="71">
        <v>15750</v>
      </c>
    </row>
    <row r="14" spans="1:15" x14ac:dyDescent="0.3">
      <c r="H14" s="68">
        <v>55</v>
      </c>
      <c r="I14" s="69" t="s">
        <v>399</v>
      </c>
      <c r="J14" s="69" t="s">
        <v>400</v>
      </c>
      <c r="K14" s="69" t="s">
        <v>397</v>
      </c>
      <c r="L14" s="69" t="s">
        <v>221</v>
      </c>
      <c r="M14" s="69" t="s">
        <v>401</v>
      </c>
      <c r="N14" s="70">
        <v>31717</v>
      </c>
      <c r="O14" s="71">
        <v>15750</v>
      </c>
    </row>
    <row r="15" spans="1:15" x14ac:dyDescent="0.3">
      <c r="H15" s="68">
        <v>65</v>
      </c>
      <c r="I15" s="69" t="s">
        <v>402</v>
      </c>
      <c r="J15" s="69" t="s">
        <v>403</v>
      </c>
      <c r="K15" s="69" t="s">
        <v>397</v>
      </c>
      <c r="L15" s="69" t="s">
        <v>221</v>
      </c>
      <c r="M15" s="69" t="s">
        <v>372</v>
      </c>
      <c r="N15" s="70">
        <v>32442</v>
      </c>
      <c r="O15" s="71">
        <v>17500</v>
      </c>
    </row>
    <row r="16" spans="1:15" x14ac:dyDescent="0.3">
      <c r="B16" s="3" t="s">
        <v>317</v>
      </c>
      <c r="C16" s="3" t="s">
        <v>318</v>
      </c>
      <c r="D16" s="3" t="s">
        <v>319</v>
      </c>
      <c r="E16" s="3" t="s">
        <v>320</v>
      </c>
      <c r="H16" s="68">
        <v>70</v>
      </c>
      <c r="I16" s="69" t="s">
        <v>404</v>
      </c>
      <c r="J16" s="69" t="s">
        <v>405</v>
      </c>
      <c r="K16" s="69" t="s">
        <v>367</v>
      </c>
      <c r="L16" s="69" t="s">
        <v>221</v>
      </c>
      <c r="M16" s="69" t="s">
        <v>372</v>
      </c>
      <c r="N16" s="70">
        <v>34762</v>
      </c>
      <c r="O16" s="71">
        <v>14000</v>
      </c>
    </row>
    <row r="17" spans="2:15" x14ac:dyDescent="0.3">
      <c r="B17" s="4" t="s">
        <v>321</v>
      </c>
      <c r="C17" s="4" t="s">
        <v>322</v>
      </c>
      <c r="D17" s="4" t="s">
        <v>323</v>
      </c>
      <c r="H17" s="68">
        <v>74</v>
      </c>
      <c r="I17" s="69" t="s">
        <v>406</v>
      </c>
      <c r="J17" s="69" t="s">
        <v>407</v>
      </c>
      <c r="K17" s="69" t="s">
        <v>363</v>
      </c>
      <c r="L17" s="69" t="s">
        <v>221</v>
      </c>
      <c r="M17" s="69" t="s">
        <v>368</v>
      </c>
      <c r="N17" s="70">
        <v>32440</v>
      </c>
      <c r="O17" s="71">
        <v>17500</v>
      </c>
    </row>
    <row r="18" spans="2:15" x14ac:dyDescent="0.3">
      <c r="B18" s="4" t="s">
        <v>408</v>
      </c>
      <c r="C18" s="4"/>
      <c r="D18" s="4" t="s">
        <v>325</v>
      </c>
      <c r="E18" s="4"/>
      <c r="H18" s="68">
        <v>75</v>
      </c>
      <c r="I18" s="69" t="s">
        <v>409</v>
      </c>
      <c r="J18" s="69" t="s">
        <v>410</v>
      </c>
      <c r="K18" s="69" t="s">
        <v>375</v>
      </c>
      <c r="L18" s="69" t="s">
        <v>221</v>
      </c>
      <c r="M18" s="69" t="s">
        <v>372</v>
      </c>
      <c r="N18" s="70">
        <v>32441</v>
      </c>
      <c r="O18" s="71">
        <v>17500</v>
      </c>
    </row>
    <row r="19" spans="2:15" x14ac:dyDescent="0.3">
      <c r="B19" s="4" t="s">
        <v>411</v>
      </c>
      <c r="C19" s="4" t="s">
        <v>327</v>
      </c>
      <c r="D19" s="4" t="s">
        <v>322</v>
      </c>
      <c r="E19" s="4"/>
      <c r="H19" s="68">
        <v>82</v>
      </c>
      <c r="I19" s="69" t="s">
        <v>412</v>
      </c>
      <c r="J19" s="69" t="s">
        <v>413</v>
      </c>
      <c r="K19" s="69" t="s">
        <v>391</v>
      </c>
      <c r="L19" s="69" t="s">
        <v>221</v>
      </c>
      <c r="M19" s="69" t="s">
        <v>364</v>
      </c>
      <c r="N19" s="70">
        <v>32448</v>
      </c>
      <c r="O19" s="71">
        <v>17500</v>
      </c>
    </row>
    <row r="20" spans="2:15" x14ac:dyDescent="0.3">
      <c r="B20" s="4" t="s">
        <v>414</v>
      </c>
      <c r="C20" s="4" t="s">
        <v>329</v>
      </c>
      <c r="D20" s="4" t="s">
        <v>330</v>
      </c>
      <c r="E20" s="4"/>
      <c r="H20" s="68">
        <v>84</v>
      </c>
      <c r="I20" s="69" t="s">
        <v>415</v>
      </c>
      <c r="J20" s="69" t="s">
        <v>416</v>
      </c>
      <c r="K20" s="69" t="s">
        <v>391</v>
      </c>
      <c r="L20" s="69" t="s">
        <v>221</v>
      </c>
      <c r="M20" s="69" t="s">
        <v>372</v>
      </c>
      <c r="N20" s="70">
        <v>36222</v>
      </c>
      <c r="O20" s="71">
        <v>7000</v>
      </c>
    </row>
    <row r="21" spans="2:15" x14ac:dyDescent="0.3">
      <c r="B21" s="4" t="s">
        <v>331</v>
      </c>
      <c r="C21" s="4"/>
      <c r="D21" s="4" t="s">
        <v>332</v>
      </c>
      <c r="E21" s="4" t="s">
        <v>321</v>
      </c>
      <c r="F21" s="4" t="s">
        <v>322</v>
      </c>
      <c r="G21" s="4" t="s">
        <v>323</v>
      </c>
      <c r="H21" s="68">
        <v>91</v>
      </c>
      <c r="I21" s="69" t="s">
        <v>417</v>
      </c>
      <c r="J21" s="69" t="s">
        <v>418</v>
      </c>
      <c r="K21" s="69" t="s">
        <v>363</v>
      </c>
      <c r="L21" s="69" t="s">
        <v>221</v>
      </c>
      <c r="M21" s="69" t="s">
        <v>372</v>
      </c>
      <c r="N21" s="70">
        <v>29172</v>
      </c>
      <c r="O21" s="71">
        <v>22750</v>
      </c>
    </row>
    <row r="22" spans="2:15" x14ac:dyDescent="0.3">
      <c r="H22" s="68">
        <v>92</v>
      </c>
      <c r="I22" s="69" t="s">
        <v>201</v>
      </c>
      <c r="J22" s="69" t="s">
        <v>419</v>
      </c>
      <c r="K22" s="69" t="s">
        <v>367</v>
      </c>
      <c r="L22" s="69" t="s">
        <v>221</v>
      </c>
      <c r="M22" s="69" t="s">
        <v>398</v>
      </c>
      <c r="N22" s="70">
        <v>32603</v>
      </c>
      <c r="O22" s="71">
        <v>17325</v>
      </c>
    </row>
    <row r="23" spans="2:15" x14ac:dyDescent="0.3">
      <c r="B23" s="3" t="s">
        <v>83</v>
      </c>
      <c r="C23" s="3" t="s">
        <v>83</v>
      </c>
      <c r="H23" s="68">
        <v>1</v>
      </c>
      <c r="I23" s="69" t="s">
        <v>420</v>
      </c>
      <c r="J23" s="69" t="s">
        <v>421</v>
      </c>
      <c r="K23" s="69" t="s">
        <v>363</v>
      </c>
      <c r="L23" s="69" t="s">
        <v>422</v>
      </c>
      <c r="M23" s="69" t="s">
        <v>423</v>
      </c>
      <c r="N23" s="70">
        <v>28126</v>
      </c>
      <c r="O23" s="71">
        <v>21875</v>
      </c>
    </row>
    <row r="24" spans="2:15" x14ac:dyDescent="0.3">
      <c r="B24" s="4" t="s">
        <v>424</v>
      </c>
      <c r="C24" s="4" t="s">
        <v>424</v>
      </c>
      <c r="H24" s="68">
        <v>4</v>
      </c>
      <c r="I24" s="69" t="s">
        <v>425</v>
      </c>
      <c r="J24" s="69" t="s">
        <v>426</v>
      </c>
      <c r="K24" s="69" t="s">
        <v>367</v>
      </c>
      <c r="L24" s="69" t="s">
        <v>422</v>
      </c>
      <c r="M24" s="69" t="s">
        <v>385</v>
      </c>
      <c r="N24" s="70">
        <v>29183</v>
      </c>
      <c r="O24" s="71">
        <v>12250</v>
      </c>
    </row>
    <row r="25" spans="2:15" x14ac:dyDescent="0.3">
      <c r="B25" s="4" t="s">
        <v>109</v>
      </c>
      <c r="C25" s="4" t="s">
        <v>424</v>
      </c>
      <c r="H25" s="68">
        <v>5</v>
      </c>
      <c r="I25" s="69" t="s">
        <v>427</v>
      </c>
      <c r="J25" s="69" t="s">
        <v>428</v>
      </c>
      <c r="K25" s="69" t="s">
        <v>391</v>
      </c>
      <c r="L25" s="69" t="s">
        <v>422</v>
      </c>
      <c r="M25" s="69" t="s">
        <v>429</v>
      </c>
      <c r="N25" s="70">
        <v>32755</v>
      </c>
      <c r="O25" s="71">
        <v>21000</v>
      </c>
    </row>
    <row r="26" spans="2:15" x14ac:dyDescent="0.3">
      <c r="B26" s="4" t="s">
        <v>111</v>
      </c>
      <c r="C26" s="4" t="s">
        <v>424</v>
      </c>
      <c r="H26" s="68">
        <v>6</v>
      </c>
      <c r="I26" s="69" t="s">
        <v>430</v>
      </c>
      <c r="J26" s="69" t="s">
        <v>431</v>
      </c>
      <c r="K26" s="69" t="s">
        <v>391</v>
      </c>
      <c r="L26" s="69" t="s">
        <v>422</v>
      </c>
      <c r="M26" s="69" t="s">
        <v>432</v>
      </c>
      <c r="N26" s="70">
        <v>32390</v>
      </c>
      <c r="O26" s="71">
        <v>12425</v>
      </c>
    </row>
    <row r="27" spans="2:15" x14ac:dyDescent="0.3">
      <c r="B27" s="4" t="s">
        <v>433</v>
      </c>
      <c r="C27" s="4" t="s">
        <v>424</v>
      </c>
      <c r="H27" s="68">
        <v>8</v>
      </c>
      <c r="I27" s="69" t="s">
        <v>434</v>
      </c>
      <c r="J27" s="69" t="s">
        <v>435</v>
      </c>
      <c r="K27" s="69" t="s">
        <v>391</v>
      </c>
      <c r="L27" s="69" t="s">
        <v>422</v>
      </c>
      <c r="M27" s="69" t="s">
        <v>436</v>
      </c>
      <c r="N27" s="70">
        <v>32755</v>
      </c>
      <c r="O27" s="71">
        <v>12425</v>
      </c>
    </row>
    <row r="28" spans="2:15" x14ac:dyDescent="0.3">
      <c r="H28" s="68">
        <v>9</v>
      </c>
      <c r="I28" s="69" t="s">
        <v>437</v>
      </c>
      <c r="J28" s="69" t="s">
        <v>438</v>
      </c>
      <c r="K28" s="69" t="s">
        <v>363</v>
      </c>
      <c r="L28" s="69" t="s">
        <v>422</v>
      </c>
      <c r="M28" s="69" t="s">
        <v>439</v>
      </c>
      <c r="N28" s="70">
        <v>36506</v>
      </c>
      <c r="O28" s="71">
        <v>14875</v>
      </c>
    </row>
    <row r="29" spans="2:15" x14ac:dyDescent="0.3">
      <c r="H29" s="68">
        <v>12</v>
      </c>
      <c r="I29" s="69" t="s">
        <v>440</v>
      </c>
      <c r="J29" s="69" t="s">
        <v>441</v>
      </c>
      <c r="K29" s="69" t="s">
        <v>375</v>
      </c>
      <c r="L29" s="69" t="s">
        <v>422</v>
      </c>
      <c r="M29" s="69" t="s">
        <v>442</v>
      </c>
      <c r="N29" s="70">
        <v>30376</v>
      </c>
      <c r="O29" s="71">
        <v>21000</v>
      </c>
    </row>
    <row r="30" spans="2:15" x14ac:dyDescent="0.3">
      <c r="H30" s="68">
        <v>15</v>
      </c>
      <c r="I30" s="69" t="s">
        <v>443</v>
      </c>
      <c r="J30" s="69" t="s">
        <v>444</v>
      </c>
      <c r="K30" s="69" t="s">
        <v>384</v>
      </c>
      <c r="L30" s="69" t="s">
        <v>422</v>
      </c>
      <c r="M30" s="69" t="s">
        <v>442</v>
      </c>
      <c r="N30" s="70">
        <v>31029</v>
      </c>
      <c r="O30" s="71">
        <v>14875</v>
      </c>
    </row>
    <row r="31" spans="2:15" x14ac:dyDescent="0.3">
      <c r="H31" s="68">
        <v>16</v>
      </c>
      <c r="I31" s="69" t="s">
        <v>445</v>
      </c>
      <c r="J31" s="69" t="s">
        <v>446</v>
      </c>
      <c r="K31" s="69" t="s">
        <v>384</v>
      </c>
      <c r="L31" s="69" t="s">
        <v>422</v>
      </c>
      <c r="M31" s="69" t="s">
        <v>447</v>
      </c>
      <c r="N31" s="70">
        <v>31030</v>
      </c>
      <c r="O31" s="71">
        <v>14875</v>
      </c>
    </row>
    <row r="32" spans="2:15" x14ac:dyDescent="0.3">
      <c r="H32" s="68">
        <v>19</v>
      </c>
      <c r="I32" s="69" t="s">
        <v>448</v>
      </c>
      <c r="J32" s="69" t="s">
        <v>449</v>
      </c>
      <c r="K32" s="69" t="s">
        <v>367</v>
      </c>
      <c r="L32" s="69" t="s">
        <v>422</v>
      </c>
      <c r="M32" s="69" t="s">
        <v>432</v>
      </c>
      <c r="N32" s="70">
        <v>31637</v>
      </c>
      <c r="O32" s="71">
        <v>10500</v>
      </c>
    </row>
    <row r="33" spans="8:15" x14ac:dyDescent="0.3">
      <c r="H33" s="68">
        <v>20</v>
      </c>
      <c r="I33" s="69" t="s">
        <v>450</v>
      </c>
      <c r="J33" s="69" t="s">
        <v>451</v>
      </c>
      <c r="K33" s="69" t="s">
        <v>367</v>
      </c>
      <c r="L33" s="69" t="s">
        <v>422</v>
      </c>
      <c r="M33" s="69" t="s">
        <v>447</v>
      </c>
      <c r="N33" s="70">
        <v>36316</v>
      </c>
      <c r="O33" s="71">
        <v>5950</v>
      </c>
    </row>
    <row r="34" spans="8:15" x14ac:dyDescent="0.3">
      <c r="H34" s="68">
        <v>29</v>
      </c>
      <c r="I34" s="69" t="s">
        <v>452</v>
      </c>
      <c r="J34" s="69" t="s">
        <v>453</v>
      </c>
      <c r="K34" s="69" t="s">
        <v>375</v>
      </c>
      <c r="L34" s="69" t="s">
        <v>422</v>
      </c>
      <c r="M34" s="69" t="s">
        <v>447</v>
      </c>
      <c r="N34" s="70">
        <v>35189</v>
      </c>
      <c r="O34" s="71">
        <v>9625</v>
      </c>
    </row>
    <row r="35" spans="8:15" x14ac:dyDescent="0.3">
      <c r="H35" s="68">
        <v>31</v>
      </c>
      <c r="I35" s="69" t="s">
        <v>454</v>
      </c>
      <c r="J35" s="69" t="s">
        <v>455</v>
      </c>
      <c r="K35" s="69" t="s">
        <v>391</v>
      </c>
      <c r="L35" s="69" t="s">
        <v>422</v>
      </c>
      <c r="M35" s="69" t="s">
        <v>436</v>
      </c>
      <c r="N35" s="70">
        <v>30225</v>
      </c>
      <c r="O35" s="71">
        <v>15750</v>
      </c>
    </row>
    <row r="36" spans="8:15" x14ac:dyDescent="0.3">
      <c r="H36" s="68">
        <v>33</v>
      </c>
      <c r="I36" s="69" t="s">
        <v>456</v>
      </c>
      <c r="J36" s="69" t="s">
        <v>457</v>
      </c>
      <c r="K36" s="69" t="s">
        <v>397</v>
      </c>
      <c r="L36" s="69" t="s">
        <v>422</v>
      </c>
      <c r="M36" s="69" t="s">
        <v>439</v>
      </c>
      <c r="N36" s="70">
        <v>35618</v>
      </c>
      <c r="O36" s="71">
        <v>7000</v>
      </c>
    </row>
    <row r="37" spans="8:15" x14ac:dyDescent="0.3">
      <c r="H37" s="68">
        <v>34</v>
      </c>
      <c r="I37" s="69" t="s">
        <v>458</v>
      </c>
      <c r="J37" s="69" t="s">
        <v>459</v>
      </c>
      <c r="K37" s="69" t="s">
        <v>397</v>
      </c>
      <c r="L37" s="69" t="s">
        <v>422</v>
      </c>
      <c r="M37" s="69" t="s">
        <v>460</v>
      </c>
      <c r="N37" s="70">
        <v>33510</v>
      </c>
      <c r="O37" s="71">
        <v>8750</v>
      </c>
    </row>
    <row r="38" spans="8:15" x14ac:dyDescent="0.3">
      <c r="H38" s="68">
        <v>38</v>
      </c>
      <c r="I38" s="69" t="s">
        <v>461</v>
      </c>
      <c r="J38" s="69" t="s">
        <v>462</v>
      </c>
      <c r="K38" s="69" t="s">
        <v>371</v>
      </c>
      <c r="L38" s="69" t="s">
        <v>422</v>
      </c>
      <c r="M38" s="69" t="s">
        <v>463</v>
      </c>
      <c r="N38" s="70">
        <v>30225</v>
      </c>
      <c r="O38" s="71">
        <v>24500</v>
      </c>
    </row>
    <row r="39" spans="8:15" x14ac:dyDescent="0.3">
      <c r="H39" s="68">
        <v>39</v>
      </c>
      <c r="I39" s="69" t="s">
        <v>464</v>
      </c>
      <c r="J39" s="69" t="s">
        <v>465</v>
      </c>
      <c r="K39" s="69" t="s">
        <v>371</v>
      </c>
      <c r="L39" s="69" t="s">
        <v>422</v>
      </c>
      <c r="M39" s="69" t="s">
        <v>466</v>
      </c>
      <c r="N39" s="70">
        <v>30225</v>
      </c>
      <c r="O39" s="71">
        <v>24500</v>
      </c>
    </row>
    <row r="40" spans="8:15" x14ac:dyDescent="0.3">
      <c r="H40" s="68">
        <v>45</v>
      </c>
      <c r="I40" s="69" t="s">
        <v>467</v>
      </c>
      <c r="J40" s="69" t="s">
        <v>468</v>
      </c>
      <c r="K40" s="69" t="s">
        <v>391</v>
      </c>
      <c r="L40" s="69" t="s">
        <v>422</v>
      </c>
      <c r="M40" s="69" t="s">
        <v>423</v>
      </c>
      <c r="N40" s="70">
        <v>35618</v>
      </c>
      <c r="O40" s="71">
        <v>11375</v>
      </c>
    </row>
    <row r="41" spans="8:15" x14ac:dyDescent="0.3">
      <c r="H41" s="68">
        <v>46</v>
      </c>
      <c r="I41" s="69" t="s">
        <v>469</v>
      </c>
      <c r="J41" s="69" t="s">
        <v>470</v>
      </c>
      <c r="K41" s="69" t="s">
        <v>363</v>
      </c>
      <c r="L41" s="69" t="s">
        <v>422</v>
      </c>
      <c r="M41" s="69" t="s">
        <v>460</v>
      </c>
      <c r="N41" s="70">
        <v>33510</v>
      </c>
      <c r="O41" s="71">
        <v>15750</v>
      </c>
    </row>
    <row r="42" spans="8:15" x14ac:dyDescent="0.3">
      <c r="H42" s="68">
        <v>47</v>
      </c>
      <c r="I42" s="69" t="s">
        <v>471</v>
      </c>
      <c r="J42" s="69" t="s">
        <v>472</v>
      </c>
      <c r="K42" s="69" t="s">
        <v>375</v>
      </c>
      <c r="L42" s="69" t="s">
        <v>422</v>
      </c>
      <c r="M42" s="69" t="s">
        <v>429</v>
      </c>
      <c r="N42" s="70">
        <v>32180</v>
      </c>
      <c r="O42" s="71">
        <v>15750</v>
      </c>
    </row>
    <row r="43" spans="8:15" x14ac:dyDescent="0.3">
      <c r="H43" s="68">
        <v>51</v>
      </c>
      <c r="I43" s="69" t="s">
        <v>473</v>
      </c>
      <c r="J43" s="69" t="s">
        <v>474</v>
      </c>
      <c r="K43" s="69" t="s">
        <v>363</v>
      </c>
      <c r="L43" s="69" t="s">
        <v>422</v>
      </c>
      <c r="M43" s="69" t="s">
        <v>442</v>
      </c>
      <c r="N43" s="70">
        <v>32436</v>
      </c>
      <c r="O43" s="71">
        <v>15750</v>
      </c>
    </row>
    <row r="44" spans="8:15" x14ac:dyDescent="0.3">
      <c r="H44" s="68">
        <v>52</v>
      </c>
      <c r="I44" s="69" t="s">
        <v>475</v>
      </c>
      <c r="J44" s="69" t="s">
        <v>476</v>
      </c>
      <c r="K44" s="69" t="s">
        <v>397</v>
      </c>
      <c r="L44" s="69" t="s">
        <v>422</v>
      </c>
      <c r="M44" s="69" t="s">
        <v>460</v>
      </c>
      <c r="N44" s="70">
        <v>32437</v>
      </c>
      <c r="O44" s="71">
        <v>19250</v>
      </c>
    </row>
    <row r="45" spans="8:15" x14ac:dyDescent="0.3">
      <c r="H45" s="68">
        <v>58</v>
      </c>
      <c r="I45" s="69" t="s">
        <v>477</v>
      </c>
      <c r="J45" s="69" t="s">
        <v>478</v>
      </c>
      <c r="K45" s="69" t="s">
        <v>367</v>
      </c>
      <c r="L45" s="69" t="s">
        <v>422</v>
      </c>
      <c r="M45" s="69" t="s">
        <v>436</v>
      </c>
      <c r="N45" s="70">
        <v>33182</v>
      </c>
      <c r="O45" s="71">
        <v>17500</v>
      </c>
    </row>
    <row r="46" spans="8:15" x14ac:dyDescent="0.3">
      <c r="H46" s="68">
        <v>61</v>
      </c>
      <c r="I46" s="69" t="s">
        <v>479</v>
      </c>
      <c r="J46" s="69" t="s">
        <v>480</v>
      </c>
      <c r="K46" s="69" t="s">
        <v>375</v>
      </c>
      <c r="L46" s="69" t="s">
        <v>422</v>
      </c>
      <c r="M46" s="69" t="s">
        <v>436</v>
      </c>
      <c r="N46" s="70">
        <v>32106</v>
      </c>
      <c r="O46" s="71">
        <v>19250</v>
      </c>
    </row>
    <row r="47" spans="8:15" x14ac:dyDescent="0.3">
      <c r="H47" s="68">
        <v>62</v>
      </c>
      <c r="I47" s="69" t="s">
        <v>481</v>
      </c>
      <c r="J47" s="69" t="s">
        <v>374</v>
      </c>
      <c r="K47" s="69" t="s">
        <v>363</v>
      </c>
      <c r="L47" s="69" t="s">
        <v>422</v>
      </c>
      <c r="M47" s="69" t="s">
        <v>429</v>
      </c>
      <c r="N47" s="70">
        <v>32107</v>
      </c>
      <c r="O47" s="71">
        <v>19251</v>
      </c>
    </row>
    <row r="48" spans="8:15" x14ac:dyDescent="0.3">
      <c r="H48" s="68">
        <v>63</v>
      </c>
      <c r="I48" s="69" t="s">
        <v>482</v>
      </c>
      <c r="J48" s="69" t="s">
        <v>483</v>
      </c>
      <c r="K48" s="69" t="s">
        <v>391</v>
      </c>
      <c r="L48" s="69" t="s">
        <v>422</v>
      </c>
      <c r="M48" s="69" t="s">
        <v>442</v>
      </c>
      <c r="N48" s="70">
        <v>32440</v>
      </c>
      <c r="O48" s="71">
        <v>17500</v>
      </c>
    </row>
    <row r="49" spans="8:15" x14ac:dyDescent="0.3">
      <c r="H49" s="68">
        <v>66</v>
      </c>
      <c r="I49" s="69" t="s">
        <v>484</v>
      </c>
      <c r="J49" s="69" t="s">
        <v>485</v>
      </c>
      <c r="K49" s="69" t="s">
        <v>384</v>
      </c>
      <c r="L49" s="69" t="s">
        <v>422</v>
      </c>
      <c r="M49" s="69" t="s">
        <v>436</v>
      </c>
      <c r="N49" s="70">
        <v>32443</v>
      </c>
      <c r="O49" s="71">
        <v>17500</v>
      </c>
    </row>
    <row r="50" spans="8:15" x14ac:dyDescent="0.3">
      <c r="H50" s="68">
        <v>67</v>
      </c>
      <c r="I50" s="69" t="s">
        <v>486</v>
      </c>
      <c r="J50" s="69" t="s">
        <v>405</v>
      </c>
      <c r="K50" s="69" t="s">
        <v>384</v>
      </c>
      <c r="L50" s="69" t="s">
        <v>422</v>
      </c>
      <c r="M50" s="69" t="s">
        <v>460</v>
      </c>
      <c r="N50" s="70">
        <v>32444</v>
      </c>
      <c r="O50" s="71">
        <v>20125</v>
      </c>
    </row>
    <row r="51" spans="8:15" x14ac:dyDescent="0.3">
      <c r="H51" s="68">
        <v>68</v>
      </c>
      <c r="I51" s="69" t="s">
        <v>487</v>
      </c>
      <c r="J51" s="69" t="s">
        <v>403</v>
      </c>
      <c r="K51" s="69" t="s">
        <v>363</v>
      </c>
      <c r="L51" s="69" t="s">
        <v>422</v>
      </c>
      <c r="M51" s="69" t="s">
        <v>466</v>
      </c>
      <c r="N51" s="70">
        <v>35034</v>
      </c>
      <c r="O51" s="71">
        <v>14000</v>
      </c>
    </row>
    <row r="52" spans="8:15" x14ac:dyDescent="0.3">
      <c r="H52" s="68">
        <v>69</v>
      </c>
      <c r="I52" s="69" t="s">
        <v>488</v>
      </c>
      <c r="J52" s="69" t="s">
        <v>472</v>
      </c>
      <c r="K52" s="69" t="s">
        <v>384</v>
      </c>
      <c r="L52" s="69" t="s">
        <v>422</v>
      </c>
      <c r="M52" s="69" t="s">
        <v>466</v>
      </c>
      <c r="N52" s="70">
        <v>34761</v>
      </c>
      <c r="O52" s="71">
        <v>14000</v>
      </c>
    </row>
    <row r="53" spans="8:15" x14ac:dyDescent="0.3">
      <c r="H53" s="68">
        <v>73</v>
      </c>
      <c r="I53" s="69" t="s">
        <v>489</v>
      </c>
      <c r="J53" s="69" t="s">
        <v>490</v>
      </c>
      <c r="K53" s="69" t="s">
        <v>397</v>
      </c>
      <c r="L53" s="69" t="s">
        <v>422</v>
      </c>
      <c r="M53" s="69" t="s">
        <v>447</v>
      </c>
      <c r="N53" s="70">
        <v>32439</v>
      </c>
      <c r="O53" s="71">
        <v>17500</v>
      </c>
    </row>
    <row r="54" spans="8:15" x14ac:dyDescent="0.3">
      <c r="H54" s="68">
        <v>77</v>
      </c>
      <c r="I54" s="69" t="s">
        <v>491</v>
      </c>
      <c r="J54" s="69" t="s">
        <v>485</v>
      </c>
      <c r="K54" s="69" t="s">
        <v>391</v>
      </c>
      <c r="L54" s="69" t="s">
        <v>422</v>
      </c>
      <c r="M54" s="69" t="s">
        <v>385</v>
      </c>
      <c r="N54" s="70">
        <v>32443</v>
      </c>
      <c r="O54" s="71">
        <v>17500</v>
      </c>
    </row>
    <row r="55" spans="8:15" x14ac:dyDescent="0.3">
      <c r="H55" s="68">
        <v>79</v>
      </c>
      <c r="I55" s="69" t="s">
        <v>492</v>
      </c>
      <c r="J55" s="69" t="s">
        <v>493</v>
      </c>
      <c r="K55" s="69" t="s">
        <v>367</v>
      </c>
      <c r="L55" s="69" t="s">
        <v>422</v>
      </c>
      <c r="M55" s="69" t="s">
        <v>385</v>
      </c>
      <c r="N55" s="70">
        <v>32445</v>
      </c>
      <c r="O55" s="71">
        <v>17500</v>
      </c>
    </row>
    <row r="56" spans="8:15" x14ac:dyDescent="0.3">
      <c r="H56" s="68">
        <v>80</v>
      </c>
      <c r="I56" s="69" t="s">
        <v>494</v>
      </c>
      <c r="J56" s="69" t="s">
        <v>495</v>
      </c>
      <c r="K56" s="69" t="s">
        <v>367</v>
      </c>
      <c r="L56" s="69" t="s">
        <v>422</v>
      </c>
      <c r="M56" s="69" t="s">
        <v>423</v>
      </c>
      <c r="N56" s="70">
        <v>32446</v>
      </c>
      <c r="O56" s="71">
        <v>17500</v>
      </c>
    </row>
    <row r="57" spans="8:15" x14ac:dyDescent="0.3">
      <c r="H57" s="68">
        <v>83</v>
      </c>
      <c r="I57" s="69" t="s">
        <v>496</v>
      </c>
      <c r="J57" s="69" t="s">
        <v>485</v>
      </c>
      <c r="K57" s="69" t="s">
        <v>397</v>
      </c>
      <c r="L57" s="69" t="s">
        <v>422</v>
      </c>
      <c r="M57" s="69" t="s">
        <v>463</v>
      </c>
      <c r="N57" s="70">
        <v>36221</v>
      </c>
      <c r="O57" s="71">
        <v>7000</v>
      </c>
    </row>
    <row r="58" spans="8:15" x14ac:dyDescent="0.3">
      <c r="H58" s="68">
        <v>85</v>
      </c>
      <c r="I58" s="69" t="s">
        <v>497</v>
      </c>
      <c r="J58" s="69" t="s">
        <v>498</v>
      </c>
      <c r="K58" s="69" t="s">
        <v>391</v>
      </c>
      <c r="L58" s="69" t="s">
        <v>422</v>
      </c>
      <c r="M58" s="69" t="s">
        <v>436</v>
      </c>
      <c r="N58" s="70">
        <v>35809</v>
      </c>
      <c r="O58" s="71">
        <v>7000</v>
      </c>
    </row>
    <row r="59" spans="8:15" x14ac:dyDescent="0.3">
      <c r="H59" s="68">
        <v>86</v>
      </c>
      <c r="I59" s="69" t="s">
        <v>499</v>
      </c>
      <c r="J59" s="69" t="s">
        <v>377</v>
      </c>
      <c r="K59" s="69" t="s">
        <v>397</v>
      </c>
      <c r="L59" s="69" t="s">
        <v>422</v>
      </c>
      <c r="M59" s="69" t="s">
        <v>442</v>
      </c>
      <c r="N59" s="70">
        <v>35810</v>
      </c>
      <c r="O59" s="71">
        <v>17500</v>
      </c>
    </row>
    <row r="60" spans="8:15" x14ac:dyDescent="0.3">
      <c r="H60" s="68">
        <v>89</v>
      </c>
      <c r="I60" s="69" t="s">
        <v>500</v>
      </c>
      <c r="J60" s="69" t="s">
        <v>501</v>
      </c>
      <c r="K60" s="69" t="s">
        <v>363</v>
      </c>
      <c r="L60" s="69" t="s">
        <v>422</v>
      </c>
      <c r="M60" s="69" t="s">
        <v>463</v>
      </c>
      <c r="N60" s="70">
        <v>28907</v>
      </c>
      <c r="O60" s="71">
        <v>22750</v>
      </c>
    </row>
    <row r="61" spans="8:15" x14ac:dyDescent="0.3">
      <c r="H61" s="68">
        <v>90</v>
      </c>
      <c r="I61" s="69" t="s">
        <v>502</v>
      </c>
      <c r="J61" s="69" t="s">
        <v>468</v>
      </c>
      <c r="K61" s="69" t="s">
        <v>391</v>
      </c>
      <c r="L61" s="69" t="s">
        <v>422</v>
      </c>
      <c r="M61" s="69" t="s">
        <v>447</v>
      </c>
      <c r="N61" s="70">
        <v>29226</v>
      </c>
      <c r="O61" s="71">
        <v>22750</v>
      </c>
    </row>
    <row r="62" spans="8:15" x14ac:dyDescent="0.3">
      <c r="H62" s="68">
        <v>98</v>
      </c>
      <c r="I62" s="69" t="s">
        <v>503</v>
      </c>
      <c r="J62" s="69" t="s">
        <v>504</v>
      </c>
      <c r="K62" s="69" t="s">
        <v>397</v>
      </c>
      <c r="L62" s="69" t="s">
        <v>422</v>
      </c>
      <c r="M62" s="69" t="s">
        <v>385</v>
      </c>
      <c r="N62" s="70">
        <v>32609</v>
      </c>
      <c r="O62" s="71">
        <v>17325</v>
      </c>
    </row>
    <row r="63" spans="8:15" x14ac:dyDescent="0.3">
      <c r="H63" s="68">
        <v>3</v>
      </c>
      <c r="I63" s="69" t="s">
        <v>505</v>
      </c>
      <c r="J63" s="69" t="s">
        <v>325</v>
      </c>
      <c r="K63" s="69" t="s">
        <v>375</v>
      </c>
      <c r="L63" s="69" t="s">
        <v>506</v>
      </c>
      <c r="M63" s="69" t="s">
        <v>507</v>
      </c>
      <c r="N63" s="70">
        <v>36220</v>
      </c>
      <c r="O63" s="71">
        <v>7000</v>
      </c>
    </row>
    <row r="64" spans="8:15" x14ac:dyDescent="0.3">
      <c r="H64" s="68">
        <v>14</v>
      </c>
      <c r="I64" s="69" t="s">
        <v>464</v>
      </c>
      <c r="J64" s="69" t="s">
        <v>403</v>
      </c>
      <c r="K64" s="69" t="s">
        <v>508</v>
      </c>
      <c r="L64" s="69" t="s">
        <v>506</v>
      </c>
      <c r="M64" s="69" t="s">
        <v>509</v>
      </c>
      <c r="N64" s="70">
        <v>31028</v>
      </c>
      <c r="O64" s="71">
        <v>49000</v>
      </c>
    </row>
    <row r="65" spans="8:15" x14ac:dyDescent="0.3">
      <c r="H65" s="68">
        <v>25</v>
      </c>
      <c r="I65" s="69" t="s">
        <v>510</v>
      </c>
      <c r="J65" s="69" t="s">
        <v>511</v>
      </c>
      <c r="K65" s="69" t="s">
        <v>391</v>
      </c>
      <c r="L65" s="69" t="s">
        <v>506</v>
      </c>
      <c r="M65" s="69" t="s">
        <v>512</v>
      </c>
      <c r="N65" s="70">
        <v>36274</v>
      </c>
      <c r="O65" s="71">
        <v>7875</v>
      </c>
    </row>
    <row r="66" spans="8:15" x14ac:dyDescent="0.3">
      <c r="H66" s="68">
        <v>27</v>
      </c>
      <c r="I66" s="69" t="s">
        <v>513</v>
      </c>
      <c r="J66" s="69" t="s">
        <v>514</v>
      </c>
      <c r="K66" s="69" t="s">
        <v>363</v>
      </c>
      <c r="L66" s="69" t="s">
        <v>506</v>
      </c>
      <c r="M66" s="69" t="s">
        <v>515</v>
      </c>
      <c r="N66" s="70">
        <v>33787</v>
      </c>
      <c r="O66" s="71">
        <v>13125</v>
      </c>
    </row>
    <row r="67" spans="8:15" x14ac:dyDescent="0.3">
      <c r="H67" s="68">
        <v>32</v>
      </c>
      <c r="I67" s="69" t="s">
        <v>516</v>
      </c>
      <c r="J67" s="69" t="s">
        <v>472</v>
      </c>
      <c r="K67" s="69" t="s">
        <v>397</v>
      </c>
      <c r="L67" s="69" t="s">
        <v>506</v>
      </c>
      <c r="M67" s="69" t="s">
        <v>512</v>
      </c>
      <c r="N67" s="70">
        <v>30225</v>
      </c>
      <c r="O67" s="71">
        <v>15750</v>
      </c>
    </row>
    <row r="68" spans="8:15" x14ac:dyDescent="0.3">
      <c r="H68" s="68">
        <v>35</v>
      </c>
      <c r="I68" s="69" t="s">
        <v>517</v>
      </c>
      <c r="J68" s="69" t="s">
        <v>472</v>
      </c>
      <c r="K68" s="69" t="s">
        <v>367</v>
      </c>
      <c r="L68" s="69" t="s">
        <v>506</v>
      </c>
      <c r="M68" s="69" t="s">
        <v>512</v>
      </c>
      <c r="N68" s="70">
        <v>33729</v>
      </c>
      <c r="O68" s="71">
        <v>9275</v>
      </c>
    </row>
    <row r="69" spans="8:15" x14ac:dyDescent="0.3">
      <c r="H69" s="68">
        <v>37</v>
      </c>
      <c r="I69" s="69" t="s">
        <v>440</v>
      </c>
      <c r="J69" s="69" t="s">
        <v>518</v>
      </c>
      <c r="K69" s="69" t="s">
        <v>371</v>
      </c>
      <c r="L69" s="69" t="s">
        <v>506</v>
      </c>
      <c r="M69" s="69" t="s">
        <v>519</v>
      </c>
      <c r="N69" s="70">
        <v>30225</v>
      </c>
      <c r="O69" s="71">
        <v>24500</v>
      </c>
    </row>
    <row r="70" spans="8:15" x14ac:dyDescent="0.3">
      <c r="H70" s="68">
        <v>40</v>
      </c>
      <c r="I70" s="69" t="s">
        <v>520</v>
      </c>
      <c r="J70" s="69" t="s">
        <v>521</v>
      </c>
      <c r="K70" s="69" t="s">
        <v>363</v>
      </c>
      <c r="L70" s="69" t="s">
        <v>506</v>
      </c>
      <c r="M70" s="69" t="s">
        <v>512</v>
      </c>
      <c r="N70" s="70">
        <v>33510</v>
      </c>
      <c r="O70" s="71">
        <v>10500</v>
      </c>
    </row>
    <row r="71" spans="8:15" x14ac:dyDescent="0.3">
      <c r="H71" s="68">
        <v>49</v>
      </c>
      <c r="I71" s="69" t="s">
        <v>522</v>
      </c>
      <c r="J71" s="69" t="s">
        <v>523</v>
      </c>
      <c r="K71" s="69" t="s">
        <v>397</v>
      </c>
      <c r="L71" s="69" t="s">
        <v>506</v>
      </c>
      <c r="M71" s="69" t="s">
        <v>509</v>
      </c>
      <c r="N71" s="70">
        <v>32435</v>
      </c>
      <c r="O71" s="71">
        <v>15750</v>
      </c>
    </row>
    <row r="72" spans="8:15" x14ac:dyDescent="0.3">
      <c r="H72" s="68">
        <v>57</v>
      </c>
      <c r="I72" s="69" t="s">
        <v>524</v>
      </c>
      <c r="J72" s="69" t="s">
        <v>525</v>
      </c>
      <c r="K72" s="69" t="s">
        <v>363</v>
      </c>
      <c r="L72" s="69" t="s">
        <v>506</v>
      </c>
      <c r="M72" s="69" t="s">
        <v>526</v>
      </c>
      <c r="N72" s="70">
        <v>34098</v>
      </c>
      <c r="O72" s="71">
        <v>14875</v>
      </c>
    </row>
    <row r="73" spans="8:15" x14ac:dyDescent="0.3">
      <c r="H73" s="68">
        <v>59</v>
      </c>
      <c r="I73" s="69" t="s">
        <v>527</v>
      </c>
      <c r="J73" s="69" t="s">
        <v>528</v>
      </c>
      <c r="K73" s="69" t="s">
        <v>375</v>
      </c>
      <c r="L73" s="69" t="s">
        <v>506</v>
      </c>
      <c r="M73" s="69" t="s">
        <v>515</v>
      </c>
      <c r="N73" s="70">
        <v>31791</v>
      </c>
      <c r="O73" s="71">
        <v>19250</v>
      </c>
    </row>
    <row r="74" spans="8:15" x14ac:dyDescent="0.3">
      <c r="H74" s="68">
        <v>60</v>
      </c>
      <c r="I74" s="69" t="s">
        <v>529</v>
      </c>
      <c r="J74" s="69" t="s">
        <v>530</v>
      </c>
      <c r="K74" s="69" t="s">
        <v>367</v>
      </c>
      <c r="L74" s="69" t="s">
        <v>506</v>
      </c>
      <c r="M74" s="69" t="s">
        <v>531</v>
      </c>
      <c r="N74" s="70">
        <v>32105</v>
      </c>
      <c r="O74" s="71">
        <v>19250</v>
      </c>
    </row>
    <row r="75" spans="8:15" x14ac:dyDescent="0.3">
      <c r="H75" s="68">
        <v>64</v>
      </c>
      <c r="I75" s="69" t="s">
        <v>532</v>
      </c>
      <c r="J75" s="69" t="s">
        <v>533</v>
      </c>
      <c r="K75" s="69" t="s">
        <v>384</v>
      </c>
      <c r="L75" s="69" t="s">
        <v>506</v>
      </c>
      <c r="M75" s="69" t="s">
        <v>507</v>
      </c>
      <c r="N75" s="70">
        <v>32441</v>
      </c>
      <c r="O75" s="71">
        <v>17500</v>
      </c>
    </row>
    <row r="76" spans="8:15" x14ac:dyDescent="0.3">
      <c r="H76" s="68">
        <v>72</v>
      </c>
      <c r="I76" s="69" t="s">
        <v>534</v>
      </c>
      <c r="J76" s="69" t="s">
        <v>455</v>
      </c>
      <c r="K76" s="69" t="s">
        <v>391</v>
      </c>
      <c r="L76" s="69" t="s">
        <v>506</v>
      </c>
      <c r="M76" s="69" t="s">
        <v>519</v>
      </c>
      <c r="N76" s="70">
        <v>32438</v>
      </c>
      <c r="O76" s="71">
        <v>17500</v>
      </c>
    </row>
    <row r="77" spans="8:15" x14ac:dyDescent="0.3">
      <c r="H77" s="68">
        <v>81</v>
      </c>
      <c r="I77" s="69" t="s">
        <v>535</v>
      </c>
      <c r="J77" s="69" t="s">
        <v>536</v>
      </c>
      <c r="K77" s="69" t="s">
        <v>397</v>
      </c>
      <c r="L77" s="69" t="s">
        <v>506</v>
      </c>
      <c r="M77" s="69" t="s">
        <v>526</v>
      </c>
      <c r="N77" s="70">
        <v>32447</v>
      </c>
      <c r="O77" s="71">
        <v>17500</v>
      </c>
    </row>
    <row r="78" spans="8:15" x14ac:dyDescent="0.3">
      <c r="H78" s="68">
        <v>87</v>
      </c>
      <c r="I78" s="69" t="s">
        <v>537</v>
      </c>
      <c r="J78" s="69" t="s">
        <v>538</v>
      </c>
      <c r="K78" s="69" t="s">
        <v>367</v>
      </c>
      <c r="L78" s="69" t="s">
        <v>506</v>
      </c>
      <c r="M78" s="69" t="s">
        <v>507</v>
      </c>
      <c r="N78" s="70">
        <v>35811</v>
      </c>
      <c r="O78" s="71">
        <v>17500</v>
      </c>
    </row>
    <row r="79" spans="8:15" x14ac:dyDescent="0.3">
      <c r="H79" s="68">
        <v>93</v>
      </c>
      <c r="I79" s="69" t="s">
        <v>539</v>
      </c>
      <c r="J79" s="69" t="s">
        <v>374</v>
      </c>
      <c r="K79" s="69" t="s">
        <v>363</v>
      </c>
      <c r="L79" s="69" t="s">
        <v>506</v>
      </c>
      <c r="M79" s="69" t="s">
        <v>515</v>
      </c>
      <c r="N79" s="70">
        <v>32604</v>
      </c>
      <c r="O79" s="71">
        <v>17325</v>
      </c>
    </row>
    <row r="80" spans="8:15" x14ac:dyDescent="0.3">
      <c r="H80" s="68">
        <v>95</v>
      </c>
      <c r="I80" s="69" t="s">
        <v>540</v>
      </c>
      <c r="J80" s="69" t="s">
        <v>459</v>
      </c>
      <c r="K80" s="69" t="s">
        <v>367</v>
      </c>
      <c r="L80" s="69" t="s">
        <v>506</v>
      </c>
      <c r="M80" s="69" t="s">
        <v>515</v>
      </c>
      <c r="N80" s="70">
        <v>32606</v>
      </c>
      <c r="O80" s="71">
        <v>17325</v>
      </c>
    </row>
    <row r="81" spans="8:15" x14ac:dyDescent="0.3">
      <c r="H81" s="68">
        <v>97</v>
      </c>
      <c r="I81" s="69" t="s">
        <v>541</v>
      </c>
      <c r="J81" s="69" t="s">
        <v>542</v>
      </c>
      <c r="K81" s="69" t="s">
        <v>391</v>
      </c>
      <c r="L81" s="69" t="s">
        <v>506</v>
      </c>
      <c r="M81" s="69" t="s">
        <v>531</v>
      </c>
      <c r="N81" s="70">
        <v>32608</v>
      </c>
      <c r="O81" s="71">
        <v>17325</v>
      </c>
    </row>
    <row r="82" spans="8:15" x14ac:dyDescent="0.3">
      <c r="H82" s="68">
        <v>100</v>
      </c>
      <c r="I82" s="69" t="s">
        <v>543</v>
      </c>
      <c r="J82" s="69" t="s">
        <v>544</v>
      </c>
      <c r="K82" s="69" t="s">
        <v>371</v>
      </c>
      <c r="L82" s="69" t="s">
        <v>506</v>
      </c>
      <c r="M82" s="69" t="s">
        <v>507</v>
      </c>
      <c r="N82" s="70">
        <v>36193</v>
      </c>
      <c r="O82" s="71">
        <v>7875</v>
      </c>
    </row>
    <row r="83" spans="8:15" x14ac:dyDescent="0.3">
      <c r="H83" s="68">
        <v>7</v>
      </c>
      <c r="I83" s="69" t="s">
        <v>545</v>
      </c>
      <c r="J83" s="69" t="s">
        <v>546</v>
      </c>
      <c r="K83" s="69" t="s">
        <v>384</v>
      </c>
      <c r="L83" s="69" t="s">
        <v>547</v>
      </c>
      <c r="M83" s="69" t="s">
        <v>548</v>
      </c>
      <c r="N83" s="70">
        <v>33102</v>
      </c>
      <c r="O83" s="71">
        <v>12425</v>
      </c>
    </row>
    <row r="84" spans="8:15" x14ac:dyDescent="0.3">
      <c r="H84" s="68">
        <v>11</v>
      </c>
      <c r="I84" s="69" t="s">
        <v>549</v>
      </c>
      <c r="J84" s="69" t="s">
        <v>550</v>
      </c>
      <c r="K84" s="69" t="s">
        <v>371</v>
      </c>
      <c r="L84" s="69" t="s">
        <v>547</v>
      </c>
      <c r="M84" s="69" t="s">
        <v>548</v>
      </c>
      <c r="N84" s="70">
        <v>31402</v>
      </c>
      <c r="O84" s="71">
        <v>14875</v>
      </c>
    </row>
    <row r="85" spans="8:15" x14ac:dyDescent="0.3">
      <c r="H85" s="68">
        <v>18</v>
      </c>
      <c r="I85" s="69" t="s">
        <v>551</v>
      </c>
      <c r="J85" s="69" t="s">
        <v>552</v>
      </c>
      <c r="K85" s="69" t="s">
        <v>375</v>
      </c>
      <c r="L85" s="69" t="s">
        <v>547</v>
      </c>
      <c r="M85" s="69" t="s">
        <v>553</v>
      </c>
      <c r="N85" s="70">
        <v>30376</v>
      </c>
      <c r="O85" s="71">
        <v>15750</v>
      </c>
    </row>
    <row r="86" spans="8:15" x14ac:dyDescent="0.3">
      <c r="H86" s="68">
        <v>22</v>
      </c>
      <c r="I86" s="69" t="s">
        <v>554</v>
      </c>
      <c r="J86" s="69" t="s">
        <v>478</v>
      </c>
      <c r="K86" s="69" t="s">
        <v>367</v>
      </c>
      <c r="L86" s="69" t="s">
        <v>547</v>
      </c>
      <c r="M86" s="69" t="s">
        <v>553</v>
      </c>
      <c r="N86" s="70">
        <v>36318</v>
      </c>
      <c r="O86" s="71">
        <v>7875</v>
      </c>
    </row>
    <row r="87" spans="8:15" x14ac:dyDescent="0.3">
      <c r="H87" s="68">
        <v>23</v>
      </c>
      <c r="I87" s="69" t="s">
        <v>555</v>
      </c>
      <c r="J87" s="69" t="s">
        <v>483</v>
      </c>
      <c r="K87" s="69" t="s">
        <v>367</v>
      </c>
      <c r="L87" s="69" t="s">
        <v>547</v>
      </c>
      <c r="M87" s="69" t="s">
        <v>548</v>
      </c>
      <c r="N87" s="70">
        <v>36319</v>
      </c>
      <c r="O87" s="71">
        <v>7875</v>
      </c>
    </row>
    <row r="88" spans="8:15" x14ac:dyDescent="0.3">
      <c r="H88" s="68">
        <v>24</v>
      </c>
      <c r="I88" s="69" t="s">
        <v>389</v>
      </c>
      <c r="J88" s="69" t="s">
        <v>556</v>
      </c>
      <c r="K88" s="69" t="s">
        <v>363</v>
      </c>
      <c r="L88" s="69" t="s">
        <v>547</v>
      </c>
      <c r="M88" s="69" t="s">
        <v>553</v>
      </c>
      <c r="N88" s="70">
        <v>29362</v>
      </c>
      <c r="O88" s="71">
        <v>14875</v>
      </c>
    </row>
    <row r="89" spans="8:15" x14ac:dyDescent="0.3">
      <c r="H89" s="68">
        <v>28</v>
      </c>
      <c r="I89" s="69" t="s">
        <v>557</v>
      </c>
      <c r="J89" s="69" t="s">
        <v>558</v>
      </c>
      <c r="K89" s="69" t="s">
        <v>391</v>
      </c>
      <c r="L89" s="69" t="s">
        <v>547</v>
      </c>
      <c r="M89" s="69" t="s">
        <v>559</v>
      </c>
      <c r="N89" s="70">
        <v>34777</v>
      </c>
      <c r="O89" s="71">
        <v>10500</v>
      </c>
    </row>
    <row r="90" spans="8:15" x14ac:dyDescent="0.3">
      <c r="H90" s="68">
        <v>36</v>
      </c>
      <c r="I90" s="69" t="s">
        <v>389</v>
      </c>
      <c r="J90" s="69" t="s">
        <v>560</v>
      </c>
      <c r="K90" s="69" t="s">
        <v>384</v>
      </c>
      <c r="L90" s="69" t="s">
        <v>547</v>
      </c>
      <c r="M90" s="69" t="s">
        <v>561</v>
      </c>
      <c r="N90" s="70">
        <v>34580</v>
      </c>
      <c r="O90" s="71">
        <v>11725</v>
      </c>
    </row>
    <row r="91" spans="8:15" x14ac:dyDescent="0.3">
      <c r="H91" s="68">
        <v>43</v>
      </c>
      <c r="I91" s="69" t="s">
        <v>562</v>
      </c>
      <c r="J91" s="69" t="s">
        <v>525</v>
      </c>
      <c r="K91" s="69" t="s">
        <v>384</v>
      </c>
      <c r="L91" s="69" t="s">
        <v>547</v>
      </c>
      <c r="M91" s="69" t="s">
        <v>559</v>
      </c>
      <c r="N91" s="70">
        <v>32435</v>
      </c>
      <c r="O91" s="71">
        <v>15750</v>
      </c>
    </row>
    <row r="92" spans="8:15" x14ac:dyDescent="0.3">
      <c r="H92" s="68">
        <v>48</v>
      </c>
      <c r="I92" s="69" t="s">
        <v>563</v>
      </c>
      <c r="J92" s="69" t="s">
        <v>472</v>
      </c>
      <c r="K92" s="69" t="s">
        <v>397</v>
      </c>
      <c r="L92" s="69" t="s">
        <v>547</v>
      </c>
      <c r="M92" s="69" t="s">
        <v>564</v>
      </c>
      <c r="N92" s="70">
        <v>32435</v>
      </c>
      <c r="O92" s="71">
        <v>15750</v>
      </c>
    </row>
    <row r="93" spans="8:15" x14ac:dyDescent="0.3">
      <c r="H93" s="68">
        <v>50</v>
      </c>
      <c r="I93" s="69" t="s">
        <v>565</v>
      </c>
      <c r="J93" s="69" t="s">
        <v>470</v>
      </c>
      <c r="K93" s="69" t="s">
        <v>384</v>
      </c>
      <c r="L93" s="69" t="s">
        <v>547</v>
      </c>
      <c r="M93" s="69" t="s">
        <v>564</v>
      </c>
      <c r="N93" s="70">
        <v>32435</v>
      </c>
      <c r="O93" s="71">
        <v>15750</v>
      </c>
    </row>
    <row r="94" spans="8:15" x14ac:dyDescent="0.3">
      <c r="H94" s="68">
        <v>53</v>
      </c>
      <c r="I94" s="69" t="s">
        <v>566</v>
      </c>
      <c r="J94" s="69" t="s">
        <v>567</v>
      </c>
      <c r="K94" s="69" t="s">
        <v>397</v>
      </c>
      <c r="L94" s="69" t="s">
        <v>547</v>
      </c>
      <c r="M94" s="69" t="s">
        <v>568</v>
      </c>
      <c r="N94" s="70">
        <v>35034</v>
      </c>
      <c r="O94" s="71">
        <v>15750</v>
      </c>
    </row>
    <row r="95" spans="8:15" x14ac:dyDescent="0.3">
      <c r="H95" s="68">
        <v>56</v>
      </c>
      <c r="I95" s="69" t="s">
        <v>569</v>
      </c>
      <c r="J95" s="69" t="s">
        <v>570</v>
      </c>
      <c r="K95" s="69" t="s">
        <v>363</v>
      </c>
      <c r="L95" s="69" t="s">
        <v>547</v>
      </c>
      <c r="M95" s="69" t="s">
        <v>568</v>
      </c>
      <c r="N95" s="70">
        <v>33878</v>
      </c>
      <c r="O95" s="71">
        <v>14875</v>
      </c>
    </row>
    <row r="96" spans="8:15" x14ac:dyDescent="0.3">
      <c r="H96" s="68">
        <v>71</v>
      </c>
      <c r="I96" s="69" t="s">
        <v>571</v>
      </c>
      <c r="J96" s="69" t="s">
        <v>572</v>
      </c>
      <c r="K96" s="69" t="s">
        <v>391</v>
      </c>
      <c r="L96" s="69" t="s">
        <v>547</v>
      </c>
      <c r="M96" s="69" t="s">
        <v>573</v>
      </c>
      <c r="N96" s="70">
        <v>34763</v>
      </c>
      <c r="O96" s="71">
        <v>14000</v>
      </c>
    </row>
    <row r="97" spans="8:15" x14ac:dyDescent="0.3">
      <c r="H97" s="68">
        <v>76</v>
      </c>
      <c r="I97" s="69" t="s">
        <v>574</v>
      </c>
      <c r="J97" s="69" t="s">
        <v>394</v>
      </c>
      <c r="K97" s="69" t="s">
        <v>397</v>
      </c>
      <c r="L97" s="69" t="s">
        <v>547</v>
      </c>
      <c r="M97" s="69" t="s">
        <v>573</v>
      </c>
      <c r="N97" s="70">
        <v>32442</v>
      </c>
      <c r="O97" s="71">
        <v>17500</v>
      </c>
    </row>
    <row r="98" spans="8:15" x14ac:dyDescent="0.3">
      <c r="H98" s="68">
        <v>78</v>
      </c>
      <c r="I98" s="69" t="s">
        <v>575</v>
      </c>
      <c r="J98" s="69" t="s">
        <v>576</v>
      </c>
      <c r="K98" s="69" t="s">
        <v>363</v>
      </c>
      <c r="L98" s="69" t="s">
        <v>547</v>
      </c>
      <c r="M98" s="69" t="s">
        <v>559</v>
      </c>
      <c r="N98" s="70">
        <v>32444</v>
      </c>
      <c r="O98" s="71">
        <v>17500</v>
      </c>
    </row>
    <row r="99" spans="8:15" x14ac:dyDescent="0.3">
      <c r="H99" s="68">
        <v>88</v>
      </c>
      <c r="I99" s="69" t="s">
        <v>577</v>
      </c>
      <c r="J99" s="69" t="s">
        <v>578</v>
      </c>
      <c r="K99" s="69" t="s">
        <v>367</v>
      </c>
      <c r="L99" s="69" t="s">
        <v>547</v>
      </c>
      <c r="M99" s="69" t="s">
        <v>548</v>
      </c>
      <c r="N99" s="70">
        <v>35794</v>
      </c>
      <c r="O99" s="71">
        <v>7875</v>
      </c>
    </row>
    <row r="100" spans="8:15" x14ac:dyDescent="0.3">
      <c r="H100" s="68">
        <v>94</v>
      </c>
      <c r="I100" s="69" t="s">
        <v>579</v>
      </c>
      <c r="J100" s="69" t="s">
        <v>580</v>
      </c>
      <c r="K100" s="69" t="s">
        <v>367</v>
      </c>
      <c r="L100" s="69" t="s">
        <v>547</v>
      </c>
      <c r="M100" s="69" t="s">
        <v>561</v>
      </c>
      <c r="N100" s="70">
        <v>32605</v>
      </c>
      <c r="O100" s="71">
        <v>17325</v>
      </c>
    </row>
    <row r="101" spans="8:15" x14ac:dyDescent="0.3">
      <c r="H101" s="68">
        <v>96</v>
      </c>
      <c r="I101" s="69" t="s">
        <v>425</v>
      </c>
      <c r="J101" s="69" t="s">
        <v>325</v>
      </c>
      <c r="K101" s="69" t="s">
        <v>391</v>
      </c>
      <c r="L101" s="69" t="s">
        <v>547</v>
      </c>
      <c r="M101" s="69" t="s">
        <v>568</v>
      </c>
      <c r="N101" s="70">
        <v>32607</v>
      </c>
      <c r="O101" s="71">
        <v>17325</v>
      </c>
    </row>
    <row r="102" spans="8:15" x14ac:dyDescent="0.3">
      <c r="H102" s="68">
        <v>99</v>
      </c>
      <c r="I102" s="69" t="s">
        <v>581</v>
      </c>
      <c r="J102" s="69" t="s">
        <v>485</v>
      </c>
      <c r="K102" s="69" t="s">
        <v>371</v>
      </c>
      <c r="L102" s="69" t="s">
        <v>547</v>
      </c>
      <c r="M102" s="69" t="s">
        <v>559</v>
      </c>
      <c r="N102" s="70">
        <v>35794</v>
      </c>
      <c r="O102" s="71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15"/>
  <sheetViews>
    <sheetView zoomScale="130" zoomScaleNormal="130" workbookViewId="0">
      <pane ySplit="1" topLeftCell="A2" activePane="bottomLeft" state="frozen"/>
      <selection pane="bottomLeft" activeCell="C11" sqref="C11:C15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43</v>
      </c>
      <c r="B1" s="1" t="s">
        <v>582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e" vm="1">
        <f ca="1">_xlfn.TEXTBEFORE(B4,",",2)</f>
        <v>#NAME?</v>
      </c>
    </row>
    <row r="5" spans="1:3" x14ac:dyDescent="0.3">
      <c r="B5" s="4" t="s">
        <v>339</v>
      </c>
      <c r="C5" s="4" t="e" vm="1">
        <f ca="1">_xlfn.TEXTBEFORE(B5,",",2)</f>
        <v>#NAME?</v>
      </c>
    </row>
    <row r="6" spans="1:3" x14ac:dyDescent="0.3">
      <c r="B6" s="4" t="s">
        <v>340</v>
      </c>
      <c r="C6" s="4" t="e" vm="1">
        <f ca="1">_xlfn.TEXTBEFORE(B6,",",2)</f>
        <v>#NAME?</v>
      </c>
    </row>
    <row r="7" spans="1:3" x14ac:dyDescent="0.3">
      <c r="B7" s="4" t="s">
        <v>341</v>
      </c>
      <c r="C7" s="4" t="e" vm="1">
        <f ca="1">_xlfn.TEXTBEFORE(B7,",",2)</f>
        <v>#NAME?</v>
      </c>
    </row>
    <row r="11" spans="1:3" x14ac:dyDescent="0.3">
      <c r="B11" s="3" t="s">
        <v>336</v>
      </c>
      <c r="C11" s="3" t="s">
        <v>346</v>
      </c>
    </row>
    <row r="12" spans="1:3" x14ac:dyDescent="0.3">
      <c r="B12" s="4" t="s">
        <v>338</v>
      </c>
      <c r="C12" s="4" t="e" vm="1">
        <f ca="1">_xlfn.TEXTBEFORE(B12,",",2)</f>
        <v>#NAME?</v>
      </c>
    </row>
    <row r="13" spans="1:3" x14ac:dyDescent="0.3">
      <c r="B13" s="4" t="s">
        <v>339</v>
      </c>
      <c r="C13" s="4" t="e" vm="1">
        <f ca="1">_xlfn.TEXTBEFORE(B13,",",2)</f>
        <v>#NAME?</v>
      </c>
    </row>
    <row r="14" spans="1:3" x14ac:dyDescent="0.3">
      <c r="B14" s="4" t="s">
        <v>340</v>
      </c>
      <c r="C14" s="4" t="e" vm="1">
        <f ca="1">_xlfn.TEXTBEFORE(B14,",",2)</f>
        <v>#NAME?</v>
      </c>
    </row>
    <row r="15" spans="1:3" x14ac:dyDescent="0.3">
      <c r="B15" s="4" t="s">
        <v>341</v>
      </c>
      <c r="C15" s="4" t="e" vm="1">
        <f ca="1">_xlfn.TEXTBEFORE(B15,",",2)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14"/>
  <sheetViews>
    <sheetView zoomScale="130" zoomScaleNormal="130" workbookViewId="0">
      <pane ySplit="1" topLeftCell="A2" activePane="bottomLeft" state="frozen"/>
      <selection pane="bottomLeft" activeCell="F11" sqref="F11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44</v>
      </c>
      <c r="B1" s="1" t="s">
        <v>583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e" vm="1">
        <f ca="1">_xlfn.TEXTAFTER(B4,",",2)</f>
        <v>#NAME?</v>
      </c>
    </row>
    <row r="5" spans="1:3" x14ac:dyDescent="0.3">
      <c r="B5" s="4" t="s">
        <v>339</v>
      </c>
      <c r="C5" s="4" t="e" vm="1">
        <f ca="1">_xlfn.TEXTAFTER(B5,",",2)</f>
        <v>#NAME?</v>
      </c>
    </row>
    <row r="6" spans="1:3" x14ac:dyDescent="0.3">
      <c r="B6" s="4" t="s">
        <v>340</v>
      </c>
      <c r="C6" s="4" t="e" vm="1">
        <f ca="1">_xlfn.TEXTAFTER(B6,",",2)</f>
        <v>#NAME?</v>
      </c>
    </row>
    <row r="7" spans="1:3" x14ac:dyDescent="0.3">
      <c r="B7" s="4" t="s">
        <v>341</v>
      </c>
      <c r="C7" s="4" t="e" vm="1">
        <f ca="1">_xlfn.TEXTAFTER(B7,",",2)</f>
        <v>#NAME?</v>
      </c>
    </row>
    <row r="10" spans="1:3" x14ac:dyDescent="0.3">
      <c r="B10" s="3" t="s">
        <v>336</v>
      </c>
      <c r="C10" s="3" t="s">
        <v>346</v>
      </c>
    </row>
    <row r="11" spans="1:3" x14ac:dyDescent="0.3">
      <c r="B11" s="4" t="s">
        <v>338</v>
      </c>
      <c r="C11" s="4" t="e" vm="1">
        <f ca="1">_xlfn.TEXTAFTER(B11,",",2)</f>
        <v>#NAME?</v>
      </c>
    </row>
    <row r="12" spans="1:3" x14ac:dyDescent="0.3">
      <c r="B12" s="4" t="s">
        <v>339</v>
      </c>
      <c r="C12" s="4" t="e" vm="1">
        <f ca="1">_xlfn.TEXTAFTER(B12,",",2)</f>
        <v>#NAME?</v>
      </c>
    </row>
    <row r="13" spans="1:3" x14ac:dyDescent="0.3">
      <c r="B13" s="4" t="s">
        <v>340</v>
      </c>
      <c r="C13" s="4" t="e" vm="1">
        <f ca="1">_xlfn.TEXTAFTER(B13,",",2)</f>
        <v>#NAME?</v>
      </c>
    </row>
    <row r="14" spans="1:3" x14ac:dyDescent="0.3">
      <c r="B14" s="4" t="s">
        <v>341</v>
      </c>
      <c r="C14" s="4" t="e" vm="1">
        <f ca="1">_xlfn.TEXTAFTER(B14,",",2)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C11"/>
  <sheetViews>
    <sheetView zoomScale="130" zoomScaleNormal="130" workbookViewId="0">
      <pane ySplit="1" topLeftCell="A2" activePane="bottomLeft" state="frozen"/>
      <selection pane="bottomLeft" activeCell="C4" sqref="C4:C11"/>
    </sheetView>
  </sheetViews>
  <sheetFormatPr defaultRowHeight="18.75" x14ac:dyDescent="0.3"/>
  <cols>
    <col min="2" max="2" width="19.296875" customWidth="1"/>
    <col min="3" max="3" width="13.59765625" customWidth="1"/>
    <col min="4" max="4" width="16.796875" bestFit="1" customWidth="1"/>
  </cols>
  <sheetData>
    <row r="1" spans="1:3" s="2" customFormat="1" ht="32.65" customHeight="1" thickBot="1" x14ac:dyDescent="0.35">
      <c r="A1" s="36">
        <v>45</v>
      </c>
      <c r="B1" s="1" t="s">
        <v>584</v>
      </c>
    </row>
    <row r="2" spans="1:3" x14ac:dyDescent="0.3">
      <c r="A2" s="37" t="s">
        <v>2</v>
      </c>
    </row>
    <row r="3" spans="1:3" x14ac:dyDescent="0.3">
      <c r="B3" s="3" t="s">
        <v>320</v>
      </c>
    </row>
    <row r="4" spans="1:3" x14ac:dyDescent="0.3">
      <c r="B4" s="4" t="s">
        <v>585</v>
      </c>
      <c r="C4" t="str">
        <f>TRIM(B4)</f>
        <v>raj kumar singh</v>
      </c>
    </row>
    <row r="5" spans="1:3" x14ac:dyDescent="0.3">
      <c r="B5" s="4" t="s">
        <v>586</v>
      </c>
      <c r="C5" t="str">
        <f t="shared" ref="C5:C11" si="0">TRIM(B5)</f>
        <v>Sonu Sharma</v>
      </c>
    </row>
    <row r="6" spans="1:3" x14ac:dyDescent="0.3">
      <c r="B6" s="4" t="s">
        <v>587</v>
      </c>
      <c r="C6" t="str">
        <f t="shared" si="0"/>
        <v>DK rakesh kumar</v>
      </c>
    </row>
    <row r="7" spans="1:3" x14ac:dyDescent="0.3">
      <c r="B7" s="20" t="s">
        <v>588</v>
      </c>
      <c r="C7" t="str">
        <f t="shared" si="0"/>
        <v>Ram Singh Tewatia</v>
      </c>
    </row>
    <row r="8" spans="1:3" x14ac:dyDescent="0.3">
      <c r="B8" s="39" t="s">
        <v>589</v>
      </c>
      <c r="C8" t="str">
        <f t="shared" si="0"/>
        <v>raj rathore</v>
      </c>
    </row>
    <row r="9" spans="1:3" x14ac:dyDescent="0.3">
      <c r="B9" s="5" t="s">
        <v>590</v>
      </c>
      <c r="C9" t="str">
        <f t="shared" si="0"/>
        <v>Monu Sharma</v>
      </c>
    </row>
    <row r="10" spans="1:3" x14ac:dyDescent="0.3">
      <c r="B10" s="4" t="s">
        <v>591</v>
      </c>
      <c r="C10" t="str">
        <f t="shared" si="0"/>
        <v>rakesh kumar</v>
      </c>
    </row>
    <row r="11" spans="1:3" x14ac:dyDescent="0.3">
      <c r="B11" s="4" t="s">
        <v>588</v>
      </c>
      <c r="C11" t="str">
        <f t="shared" si="0"/>
        <v>Ram Singh Tewatia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9"/>
  <sheetViews>
    <sheetView zoomScale="130" zoomScaleNormal="130" workbookViewId="0">
      <pane ySplit="1" topLeftCell="A2" activePane="bottomLeft" state="frozen"/>
      <selection pane="bottomLeft" activeCell="H16" sqref="H16"/>
    </sheetView>
  </sheetViews>
  <sheetFormatPr defaultRowHeight="18.75" x14ac:dyDescent="0.3"/>
  <cols>
    <col min="2" max="2" width="14" customWidth="1"/>
    <col min="3" max="5" width="7.796875" customWidth="1"/>
    <col min="6" max="6" width="5.8984375" bestFit="1" customWidth="1"/>
  </cols>
  <sheetData>
    <row r="1" spans="1:7" s="2" customFormat="1" ht="32.65" customHeight="1" thickBot="1" x14ac:dyDescent="0.35">
      <c r="A1" s="36">
        <v>46</v>
      </c>
      <c r="B1" s="1" t="s">
        <v>592</v>
      </c>
    </row>
    <row r="2" spans="1:7" x14ac:dyDescent="0.3">
      <c r="A2" s="37" t="s">
        <v>2</v>
      </c>
    </row>
    <row r="3" spans="1:7" x14ac:dyDescent="0.3">
      <c r="B3" s="3" t="s">
        <v>593</v>
      </c>
      <c r="C3" s="42" t="s">
        <v>85</v>
      </c>
      <c r="D3" s="42" t="s">
        <v>86</v>
      </c>
      <c r="E3" s="42" t="s">
        <v>87</v>
      </c>
    </row>
    <row r="4" spans="1:7" x14ac:dyDescent="0.3">
      <c r="B4" s="21" t="s">
        <v>90</v>
      </c>
      <c r="C4" s="39">
        <v>15800</v>
      </c>
      <c r="D4" s="39">
        <v>42000</v>
      </c>
      <c r="E4" s="39">
        <v>26700</v>
      </c>
    </row>
    <row r="5" spans="1:7" x14ac:dyDescent="0.3">
      <c r="B5" s="21" t="s">
        <v>92</v>
      </c>
      <c r="C5" s="39">
        <v>19300</v>
      </c>
      <c r="D5" s="39">
        <v>9800</v>
      </c>
      <c r="E5" s="39">
        <v>7400</v>
      </c>
    </row>
    <row r="6" spans="1:7" x14ac:dyDescent="0.3">
      <c r="B6" s="21" t="s">
        <v>94</v>
      </c>
      <c r="C6" s="39">
        <v>8700</v>
      </c>
      <c r="D6" s="39">
        <v>10200</v>
      </c>
      <c r="E6" s="39">
        <v>28300</v>
      </c>
    </row>
    <row r="7" spans="1:7" x14ac:dyDescent="0.3">
      <c r="B7" s="21" t="s">
        <v>90</v>
      </c>
      <c r="C7" s="39">
        <v>31400</v>
      </c>
      <c r="D7" s="39">
        <v>24800</v>
      </c>
      <c r="E7" s="39">
        <v>21500</v>
      </c>
    </row>
    <row r="8" spans="1:7" x14ac:dyDescent="0.3">
      <c r="B8" s="21" t="s">
        <v>92</v>
      </c>
      <c r="C8" s="39">
        <v>22600</v>
      </c>
      <c r="D8" s="39">
        <v>7700</v>
      </c>
      <c r="E8" s="39">
        <v>9900</v>
      </c>
    </row>
    <row r="10" spans="1:7" x14ac:dyDescent="0.3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3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3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3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  <row r="16" spans="1:7" x14ac:dyDescent="0.3">
      <c r="B16" t="s">
        <v>997</v>
      </c>
      <c r="C16" t="s">
        <v>998</v>
      </c>
      <c r="D16" t="s">
        <v>999</v>
      </c>
      <c r="E16" t="s">
        <v>1000</v>
      </c>
      <c r="F16" t="s">
        <v>998</v>
      </c>
      <c r="G16" t="s">
        <v>999</v>
      </c>
    </row>
    <row r="17" spans="2:7" x14ac:dyDescent="0.3">
      <c r="B17" t="s">
        <v>1001</v>
      </c>
      <c r="C17" cm="1">
        <f t="array" ref="C17:G19">TRANSPOSE(C4:E8)</f>
        <v>15800</v>
      </c>
      <c r="D17">
        <v>19300</v>
      </c>
      <c r="E17">
        <v>8700</v>
      </c>
      <c r="F17">
        <v>31400</v>
      </c>
      <c r="G17">
        <v>22600</v>
      </c>
    </row>
    <row r="18" spans="2:7" x14ac:dyDescent="0.3">
      <c r="B18" t="s">
        <v>1002</v>
      </c>
      <c r="C18">
        <v>42000</v>
      </c>
      <c r="D18">
        <v>9800</v>
      </c>
      <c r="E18">
        <v>10200</v>
      </c>
      <c r="F18">
        <v>24800</v>
      </c>
      <c r="G18">
        <v>7700</v>
      </c>
    </row>
    <row r="19" spans="2:7" x14ac:dyDescent="0.3">
      <c r="B19" t="s">
        <v>1003</v>
      </c>
      <c r="C19">
        <v>26700</v>
      </c>
      <c r="D19">
        <v>7400</v>
      </c>
      <c r="E19">
        <v>28300</v>
      </c>
      <c r="F19">
        <v>21500</v>
      </c>
      <c r="G19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.75" x14ac:dyDescent="0.3"/>
  <cols>
    <col min="2" max="2" width="33.59765625" customWidth="1"/>
    <col min="3" max="5" width="12.8984375" customWidth="1"/>
    <col min="6" max="6" width="9.59765625" customWidth="1"/>
  </cols>
  <sheetData>
    <row r="1" spans="1:6" s="2" customFormat="1" ht="32.65" customHeight="1" thickBot="1" x14ac:dyDescent="0.35">
      <c r="A1" s="36">
        <v>47</v>
      </c>
      <c r="B1" s="1" t="s">
        <v>594</v>
      </c>
    </row>
    <row r="2" spans="1:6" x14ac:dyDescent="0.3">
      <c r="A2" s="37" t="s">
        <v>2</v>
      </c>
    </row>
    <row r="3" spans="1:6" x14ac:dyDescent="0.3">
      <c r="B3" s="3" t="s">
        <v>336</v>
      </c>
      <c r="C3" s="3"/>
      <c r="D3" s="3"/>
      <c r="E3" s="3"/>
    </row>
    <row r="4" spans="1:6" x14ac:dyDescent="0.3">
      <c r="B4" s="4">
        <v>110062</v>
      </c>
      <c r="C4" s="4" t="s">
        <v>466</v>
      </c>
      <c r="D4" s="4">
        <v>9999999999</v>
      </c>
      <c r="E4" s="4"/>
    </row>
    <row r="5" spans="1:6" x14ac:dyDescent="0.3">
      <c r="B5" s="4">
        <v>121102</v>
      </c>
      <c r="C5" s="4" t="s">
        <v>595</v>
      </c>
      <c r="D5" s="4">
        <v>4444444444</v>
      </c>
      <c r="E5" s="4"/>
    </row>
    <row r="7" spans="1:6" x14ac:dyDescent="0.3">
      <c r="B7" s="3" t="s">
        <v>336</v>
      </c>
      <c r="C7" s="3" t="s">
        <v>337</v>
      </c>
      <c r="D7" s="3" t="s">
        <v>381</v>
      </c>
      <c r="E7" s="3" t="s">
        <v>346</v>
      </c>
    </row>
    <row r="8" spans="1:6" x14ac:dyDescent="0.3">
      <c r="B8" s="4" t="s">
        <v>338</v>
      </c>
      <c r="C8" s="4" t="e" vm="1">
        <f t="array" aca="1" ref="C8" ca="1">_xlfn.TEXTSPLIT(B8,",")</f>
        <v>#NAME?</v>
      </c>
      <c r="D8" s="4"/>
      <c r="E8" s="4"/>
    </row>
    <row r="9" spans="1:6" x14ac:dyDescent="0.3">
      <c r="B9" s="4" t="s">
        <v>339</v>
      </c>
      <c r="C9" s="4" t="e" vm="1">
        <f t="array" aca="1" ref="C9" ca="1">_xlfn.TEXTSPLIT(B9,",")</f>
        <v>#NAME?</v>
      </c>
      <c r="D9" s="4"/>
      <c r="E9" s="4"/>
    </row>
    <row r="11" spans="1:6" x14ac:dyDescent="0.3">
      <c r="B11" s="3" t="s">
        <v>336</v>
      </c>
      <c r="C11" s="3" t="s">
        <v>596</v>
      </c>
      <c r="D11" s="3" t="s">
        <v>337</v>
      </c>
      <c r="E11" s="3" t="s">
        <v>381</v>
      </c>
      <c r="F11" s="3" t="s">
        <v>346</v>
      </c>
    </row>
    <row r="12" spans="1:6" x14ac:dyDescent="0.3">
      <c r="B12" s="4" t="s">
        <v>597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3">
      <c r="B13" s="4" t="s">
        <v>598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F11"/>
  <sheetViews>
    <sheetView zoomScale="130" zoomScaleNormal="130" workbookViewId="0">
      <pane ySplit="1" topLeftCell="A2" activePane="bottomLeft" state="frozen"/>
      <selection pane="bottomLeft" activeCell="D12" sqref="D12"/>
    </sheetView>
  </sheetViews>
  <sheetFormatPr defaultRowHeight="18.75" x14ac:dyDescent="0.3"/>
  <cols>
    <col min="2" max="3" width="15.8984375" customWidth="1"/>
    <col min="4" max="5" width="16" customWidth="1"/>
    <col min="6" max="6" width="9.59765625" customWidth="1"/>
  </cols>
  <sheetData>
    <row r="1" spans="1:6" s="2" customFormat="1" ht="32.65" customHeight="1" thickBot="1" x14ac:dyDescent="0.35">
      <c r="A1" s="36">
        <v>48</v>
      </c>
      <c r="B1" s="1" t="s">
        <v>599</v>
      </c>
    </row>
    <row r="2" spans="1:6" x14ac:dyDescent="0.3">
      <c r="A2" s="37" t="s">
        <v>2</v>
      </c>
    </row>
    <row r="3" spans="1:6" x14ac:dyDescent="0.3">
      <c r="B3" t="s">
        <v>600</v>
      </c>
      <c r="C3" t="s">
        <v>601</v>
      </c>
    </row>
    <row r="4" spans="1:6" x14ac:dyDescent="0.3">
      <c r="B4" s="29">
        <f ca="1">NOW()</f>
        <v>46244.444207986111</v>
      </c>
      <c r="C4" s="30">
        <f ca="1">TODAY()</f>
        <v>46244</v>
      </c>
    </row>
    <row r="9" spans="1:6" x14ac:dyDescent="0.3">
      <c r="B9" s="3" t="s">
        <v>602</v>
      </c>
      <c r="C9" s="3" t="s">
        <v>346</v>
      </c>
      <c r="D9" s="3" t="s">
        <v>603</v>
      </c>
      <c r="E9" s="3" t="s">
        <v>604</v>
      </c>
    </row>
    <row r="10" spans="1:6" x14ac:dyDescent="0.3">
      <c r="B10" s="4" t="s">
        <v>605</v>
      </c>
      <c r="C10" s="4" t="s">
        <v>210</v>
      </c>
      <c r="D10" s="32">
        <v>0.61944444444444446</v>
      </c>
      <c r="E10" s="27">
        <v>45584</v>
      </c>
      <c r="F10" s="29"/>
    </row>
    <row r="11" spans="1:6" x14ac:dyDescent="0.3">
      <c r="B11" s="4"/>
      <c r="C11" s="4"/>
      <c r="D11" s="145">
        <f ca="1">NOW()</f>
        <v>46244.444207986111</v>
      </c>
      <c r="E11" s="27">
        <f ca="1">TODAY()</f>
        <v>46244</v>
      </c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20"/>
  <sheetViews>
    <sheetView zoomScale="130" zoomScaleNormal="130" workbookViewId="0">
      <pane ySplit="1" topLeftCell="A5" activePane="bottomLeft" state="frozen"/>
      <selection pane="bottomLeft" activeCell="E16" sqref="E16:E20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49</v>
      </c>
      <c r="B1" s="1" t="s">
        <v>606</v>
      </c>
    </row>
    <row r="2" spans="1:5" x14ac:dyDescent="0.3">
      <c r="A2" s="37" t="s">
        <v>2</v>
      </c>
    </row>
    <row r="3" spans="1:5" x14ac:dyDescent="0.3">
      <c r="B3" s="3" t="s">
        <v>141</v>
      </c>
      <c r="C3" s="3"/>
      <c r="D3" s="3"/>
      <c r="E3" s="3"/>
    </row>
    <row r="4" spans="1:5" x14ac:dyDescent="0.3">
      <c r="B4" s="27">
        <f>DATE(2024,1,20)</f>
        <v>45311</v>
      </c>
      <c r="C4" s="4"/>
      <c r="D4" s="4"/>
      <c r="E4" s="4"/>
    </row>
    <row r="5" spans="1:5" x14ac:dyDescent="0.3">
      <c r="B5" s="27">
        <f>DATE(2024,1,20)</f>
        <v>45311</v>
      </c>
      <c r="C5" s="4"/>
      <c r="D5" s="4"/>
      <c r="E5" s="4"/>
    </row>
    <row r="7" spans="1:5" x14ac:dyDescent="0.3">
      <c r="B7" s="3" t="s">
        <v>607</v>
      </c>
      <c r="C7" s="3" t="s">
        <v>608</v>
      </c>
      <c r="D7" s="3" t="s">
        <v>609</v>
      </c>
      <c r="E7" s="3" t="s">
        <v>141</v>
      </c>
    </row>
    <row r="8" spans="1:5" x14ac:dyDescent="0.3">
      <c r="B8" s="4">
        <v>2</v>
      </c>
      <c r="C8" s="4">
        <v>1</v>
      </c>
      <c r="D8" s="4">
        <v>2024</v>
      </c>
      <c r="E8" s="27">
        <f>DATE(D8,C8,B8)</f>
        <v>45293</v>
      </c>
    </row>
    <row r="9" spans="1:5" x14ac:dyDescent="0.3">
      <c r="B9" s="4">
        <v>12</v>
      </c>
      <c r="C9" s="4">
        <v>5</v>
      </c>
      <c r="D9" s="4">
        <v>2023</v>
      </c>
      <c r="E9" s="27">
        <f>DATE(D9,C9,B9)</f>
        <v>45058</v>
      </c>
    </row>
    <row r="10" spans="1:5" x14ac:dyDescent="0.3">
      <c r="B10" s="4">
        <v>22</v>
      </c>
      <c r="C10" s="4">
        <v>9</v>
      </c>
      <c r="D10" s="4">
        <v>2022</v>
      </c>
      <c r="E10" s="27">
        <f>DATE(D10,C10,B10)</f>
        <v>44826</v>
      </c>
    </row>
    <row r="11" spans="1:5" x14ac:dyDescent="0.3">
      <c r="B11" s="4">
        <v>3</v>
      </c>
      <c r="C11" s="4">
        <v>11</v>
      </c>
      <c r="D11" s="4">
        <v>2021</v>
      </c>
      <c r="E11" s="27">
        <f>DATE(D11,C11,B11)</f>
        <v>44503</v>
      </c>
    </row>
    <row r="12" spans="1:5" x14ac:dyDescent="0.3">
      <c r="B12" s="4">
        <v>4</v>
      </c>
      <c r="C12" s="4">
        <v>11</v>
      </c>
      <c r="D12" s="4">
        <v>2020</v>
      </c>
      <c r="E12" s="27">
        <f>DATE(D12,C12,B12)</f>
        <v>44139</v>
      </c>
    </row>
    <row r="15" spans="1:5" x14ac:dyDescent="0.3">
      <c r="B15" s="3" t="s">
        <v>607</v>
      </c>
      <c r="C15" s="3" t="s">
        <v>608</v>
      </c>
      <c r="D15" s="3" t="s">
        <v>609</v>
      </c>
      <c r="E15" s="144" t="s">
        <v>1004</v>
      </c>
    </row>
    <row r="16" spans="1:5" x14ac:dyDescent="0.3">
      <c r="B16" s="4">
        <v>2</v>
      </c>
      <c r="C16" s="4">
        <v>1</v>
      </c>
      <c r="D16" s="4">
        <v>2024</v>
      </c>
      <c r="E16" s="30">
        <f>DATE(D16,C16,B16)</f>
        <v>45293</v>
      </c>
    </row>
    <row r="17" spans="2:5" x14ac:dyDescent="0.3">
      <c r="B17" s="4">
        <v>12</v>
      </c>
      <c r="C17" s="4">
        <v>5</v>
      </c>
      <c r="D17" s="4">
        <v>2023</v>
      </c>
      <c r="E17" s="30">
        <f t="shared" ref="E17:E20" si="0">DATE(D17,C17,B17)</f>
        <v>45058</v>
      </c>
    </row>
    <row r="18" spans="2:5" x14ac:dyDescent="0.3">
      <c r="B18" s="4">
        <v>22</v>
      </c>
      <c r="C18" s="4">
        <v>9</v>
      </c>
      <c r="D18" s="4">
        <v>2022</v>
      </c>
      <c r="E18" s="30">
        <f t="shared" si="0"/>
        <v>44826</v>
      </c>
    </row>
    <row r="19" spans="2:5" x14ac:dyDescent="0.3">
      <c r="B19" s="4">
        <v>3</v>
      </c>
      <c r="C19" s="4">
        <v>11</v>
      </c>
      <c r="D19" s="4">
        <v>2021</v>
      </c>
      <c r="E19" s="30">
        <f t="shared" si="0"/>
        <v>44503</v>
      </c>
    </row>
    <row r="20" spans="2:5" x14ac:dyDescent="0.3">
      <c r="B20" s="4">
        <v>4</v>
      </c>
      <c r="C20" s="4">
        <v>11</v>
      </c>
      <c r="D20" s="4">
        <v>2020</v>
      </c>
      <c r="E20" s="30">
        <f t="shared" si="0"/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16"/>
  <sheetViews>
    <sheetView zoomScale="130" zoomScaleNormal="130" workbookViewId="0">
      <pane ySplit="1" topLeftCell="A2" activePane="bottomLeft" state="frozen"/>
      <selection pane="bottomLeft" activeCell="E12" sqref="E12:E16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50</v>
      </c>
      <c r="B1" s="1" t="s">
        <v>610</v>
      </c>
    </row>
    <row r="2" spans="1:5" x14ac:dyDescent="0.3">
      <c r="A2" s="37" t="s">
        <v>2</v>
      </c>
    </row>
    <row r="3" spans="1:5" x14ac:dyDescent="0.3">
      <c r="B3" s="3" t="s">
        <v>141</v>
      </c>
      <c r="C3" s="3" t="s">
        <v>607</v>
      </c>
      <c r="D3" s="3" t="s">
        <v>608</v>
      </c>
      <c r="E3" s="3" t="s">
        <v>609</v>
      </c>
    </row>
    <row r="4" spans="1:5" x14ac:dyDescent="0.3">
      <c r="B4" s="27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">
      <c r="B5" s="27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">
      <c r="B6" s="27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">
      <c r="B7" s="27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">
      <c r="B8" s="27">
        <v>45447</v>
      </c>
      <c r="C8" s="4">
        <f>DAY(B8)</f>
        <v>4</v>
      </c>
      <c r="D8" s="4">
        <f>MONTH(B8)</f>
        <v>6</v>
      </c>
      <c r="E8" s="4">
        <f>YEAR(B8)</f>
        <v>2024</v>
      </c>
    </row>
    <row r="11" spans="1:5" x14ac:dyDescent="0.3">
      <c r="B11" s="3" t="s">
        <v>141</v>
      </c>
      <c r="C11" t="s">
        <v>1005</v>
      </c>
      <c r="D11" t="s">
        <v>1006</v>
      </c>
      <c r="E11" t="s">
        <v>1007</v>
      </c>
    </row>
    <row r="12" spans="1:5" x14ac:dyDescent="0.3">
      <c r="B12" s="27">
        <v>45323</v>
      </c>
      <c r="C12">
        <f>DAY(B12)</f>
        <v>1</v>
      </c>
      <c r="D12">
        <f>MONTH(B12)</f>
        <v>2</v>
      </c>
      <c r="E12">
        <f>YEAR(B12)</f>
        <v>2024</v>
      </c>
    </row>
    <row r="13" spans="1:5" x14ac:dyDescent="0.3">
      <c r="B13" s="27">
        <v>45354</v>
      </c>
      <c r="C13">
        <f t="shared" ref="C13:C16" si="0">DAY(B13)</f>
        <v>3</v>
      </c>
      <c r="D13">
        <f t="shared" ref="D13:D16" si="1">MONTH(B13)</f>
        <v>3</v>
      </c>
      <c r="E13">
        <f t="shared" ref="E13:E16" si="2">YEAR(B13)</f>
        <v>2024</v>
      </c>
    </row>
    <row r="14" spans="1:5" x14ac:dyDescent="0.3">
      <c r="B14" s="27">
        <v>45385</v>
      </c>
      <c r="C14">
        <f t="shared" si="0"/>
        <v>3</v>
      </c>
      <c r="D14">
        <f t="shared" si="1"/>
        <v>4</v>
      </c>
      <c r="E14">
        <f t="shared" si="2"/>
        <v>2024</v>
      </c>
    </row>
    <row r="15" spans="1:5" x14ac:dyDescent="0.3">
      <c r="B15" s="27">
        <v>45416</v>
      </c>
      <c r="C15">
        <f t="shared" si="0"/>
        <v>4</v>
      </c>
      <c r="D15">
        <f t="shared" si="1"/>
        <v>5</v>
      </c>
      <c r="E15">
        <f t="shared" si="2"/>
        <v>2024</v>
      </c>
    </row>
    <row r="16" spans="1:5" x14ac:dyDescent="0.3">
      <c r="B16" s="27">
        <v>45447</v>
      </c>
      <c r="C16">
        <f t="shared" si="0"/>
        <v>4</v>
      </c>
      <c r="D16">
        <f t="shared" si="1"/>
        <v>6</v>
      </c>
      <c r="E16">
        <f t="shared" si="2"/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17"/>
  <sheetViews>
    <sheetView zoomScale="130" zoomScaleNormal="130" workbookViewId="0">
      <pane ySplit="1" topLeftCell="A2" activePane="bottomLeft" state="frozen"/>
      <selection pane="bottomLeft" activeCell="D13" sqref="D13:D17"/>
    </sheetView>
  </sheetViews>
  <sheetFormatPr defaultRowHeight="18.75" x14ac:dyDescent="0.3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35">
      <c r="A1" s="36">
        <v>51</v>
      </c>
      <c r="B1" s="1" t="s">
        <v>611</v>
      </c>
    </row>
    <row r="2" spans="1:4" x14ac:dyDescent="0.3">
      <c r="A2" s="37" t="s">
        <v>2</v>
      </c>
    </row>
    <row r="3" spans="1:4" x14ac:dyDescent="0.3">
      <c r="B3" s="3" t="s">
        <v>612</v>
      </c>
      <c r="C3" s="3" t="s">
        <v>613</v>
      </c>
      <c r="D3" s="3" t="s">
        <v>614</v>
      </c>
    </row>
    <row r="4" spans="1:4" x14ac:dyDescent="0.3">
      <c r="B4" s="27">
        <v>45323</v>
      </c>
      <c r="C4" s="27">
        <v>45334</v>
      </c>
      <c r="D4" s="4">
        <f>_xlfn.DAYS(C4,B4)</f>
        <v>11</v>
      </c>
    </row>
    <row r="5" spans="1:4" x14ac:dyDescent="0.3">
      <c r="B5" s="27">
        <v>45354</v>
      </c>
      <c r="C5" s="27">
        <v>45371</v>
      </c>
      <c r="D5" s="4">
        <f>_xlfn.DAYS(C5,B5)</f>
        <v>17</v>
      </c>
    </row>
    <row r="6" spans="1:4" x14ac:dyDescent="0.3">
      <c r="B6" s="27">
        <v>45385</v>
      </c>
      <c r="C6" s="27">
        <v>45448</v>
      </c>
      <c r="D6" s="4">
        <f>_xlfn.DAYS(C6,B6)</f>
        <v>63</v>
      </c>
    </row>
    <row r="7" spans="1:4" x14ac:dyDescent="0.3">
      <c r="B7" s="27">
        <v>45416</v>
      </c>
      <c r="C7" s="27">
        <v>45466</v>
      </c>
      <c r="D7" s="4">
        <f>_xlfn.DAYS(C7,B7)</f>
        <v>50</v>
      </c>
    </row>
    <row r="8" spans="1:4" x14ac:dyDescent="0.3">
      <c r="B8" s="27">
        <v>45447</v>
      </c>
      <c r="C8" s="27">
        <v>45463</v>
      </c>
      <c r="D8" s="4">
        <f>_xlfn.DAYS(C8,B8)</f>
        <v>16</v>
      </c>
    </row>
    <row r="12" spans="1:4" x14ac:dyDescent="0.3">
      <c r="B12" s="3" t="s">
        <v>612</v>
      </c>
      <c r="C12" s="3" t="s">
        <v>613</v>
      </c>
      <c r="D12" t="s">
        <v>1008</v>
      </c>
    </row>
    <row r="13" spans="1:4" x14ac:dyDescent="0.3">
      <c r="B13" s="27">
        <v>45323</v>
      </c>
      <c r="C13" s="27">
        <v>45334</v>
      </c>
      <c r="D13">
        <f>_xlfn.DAYS(C13,B13)</f>
        <v>11</v>
      </c>
    </row>
    <row r="14" spans="1:4" x14ac:dyDescent="0.3">
      <c r="B14" s="27">
        <v>45354</v>
      </c>
      <c r="C14" s="27">
        <v>45371</v>
      </c>
      <c r="D14">
        <f t="shared" ref="D14:D17" si="0">_xlfn.DAYS(C14,B14)</f>
        <v>17</v>
      </c>
    </row>
    <row r="15" spans="1:4" x14ac:dyDescent="0.3">
      <c r="B15" s="27">
        <v>45385</v>
      </c>
      <c r="C15" s="27">
        <v>45448</v>
      </c>
      <c r="D15">
        <f t="shared" si="0"/>
        <v>63</v>
      </c>
    </row>
    <row r="16" spans="1:4" x14ac:dyDescent="0.3">
      <c r="B16" s="27">
        <v>45416</v>
      </c>
      <c r="C16" s="27">
        <v>45466</v>
      </c>
      <c r="D16">
        <f t="shared" si="0"/>
        <v>50</v>
      </c>
    </row>
    <row r="17" spans="2:4" x14ac:dyDescent="0.3">
      <c r="B17" s="27">
        <v>45447</v>
      </c>
      <c r="C17" s="27">
        <v>45463</v>
      </c>
      <c r="D17">
        <f t="shared" si="0"/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9"/>
  <sheetViews>
    <sheetView zoomScale="130" zoomScaleNormal="130" workbookViewId="0">
      <pane ySplit="1" topLeftCell="A2" activePane="bottomLeft" state="frozen"/>
      <selection pane="bottomLeft" activeCell="C15" sqref="C15:C19"/>
    </sheetView>
  </sheetViews>
  <sheetFormatPr defaultRowHeight="18.75" x14ac:dyDescent="0.3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35">
      <c r="A1" s="36">
        <v>52</v>
      </c>
      <c r="B1" s="1" t="s">
        <v>615</v>
      </c>
    </row>
    <row r="2" spans="1:3" x14ac:dyDescent="0.3">
      <c r="A2" s="37" t="s">
        <v>2</v>
      </c>
    </row>
    <row r="3" spans="1:3" x14ac:dyDescent="0.3">
      <c r="B3" s="3" t="s">
        <v>616</v>
      </c>
      <c r="C3" s="3" t="s">
        <v>617</v>
      </c>
    </row>
    <row r="4" spans="1:3" x14ac:dyDescent="0.3">
      <c r="B4" s="27">
        <v>45323</v>
      </c>
      <c r="C4" s="27">
        <f>EDATE(B4,-3)</f>
        <v>45231</v>
      </c>
    </row>
    <row r="5" spans="1:3" x14ac:dyDescent="0.3">
      <c r="B5" s="27">
        <v>45354</v>
      </c>
      <c r="C5" s="27">
        <f>EDATE(B5,3)</f>
        <v>45446</v>
      </c>
    </row>
    <row r="6" spans="1:3" x14ac:dyDescent="0.3">
      <c r="B6" s="27">
        <v>45385</v>
      </c>
      <c r="C6" s="27">
        <f>EDATE(B6,3)</f>
        <v>45476</v>
      </c>
    </row>
    <row r="7" spans="1:3" x14ac:dyDescent="0.3">
      <c r="B7" s="27">
        <v>45416</v>
      </c>
      <c r="C7" s="27">
        <f>EDATE(B7,3)</f>
        <v>45508</v>
      </c>
    </row>
    <row r="8" spans="1:3" x14ac:dyDescent="0.3">
      <c r="B8" s="27">
        <v>45447</v>
      </c>
      <c r="C8" s="27">
        <f>EDATE(B8,3)</f>
        <v>45539</v>
      </c>
    </row>
    <row r="10" spans="1:3" x14ac:dyDescent="0.3">
      <c r="B10" t="s">
        <v>618</v>
      </c>
    </row>
    <row r="11" spans="1:3" x14ac:dyDescent="0.3">
      <c r="B11" t="s">
        <v>619</v>
      </c>
    </row>
    <row r="14" spans="1:3" x14ac:dyDescent="0.3">
      <c r="B14" s="3" t="s">
        <v>616</v>
      </c>
      <c r="C14" s="127" t="s">
        <v>1009</v>
      </c>
    </row>
    <row r="15" spans="1:3" x14ac:dyDescent="0.3">
      <c r="B15" s="27">
        <v>45323</v>
      </c>
      <c r="C15" s="27">
        <f>EDATE(B15,-2)</f>
        <v>45261</v>
      </c>
    </row>
    <row r="16" spans="1:3" x14ac:dyDescent="0.3">
      <c r="B16" s="27">
        <v>45354</v>
      </c>
      <c r="C16" s="27">
        <f t="shared" ref="C16:C19" si="0">EDATE(B16,-2)</f>
        <v>45294</v>
      </c>
    </row>
    <row r="17" spans="2:3" x14ac:dyDescent="0.3">
      <c r="B17" s="27">
        <v>45385</v>
      </c>
      <c r="C17" s="27">
        <f t="shared" si="0"/>
        <v>45325</v>
      </c>
    </row>
    <row r="18" spans="2:3" x14ac:dyDescent="0.3">
      <c r="B18" s="27">
        <v>45416</v>
      </c>
      <c r="C18" s="27">
        <f t="shared" si="0"/>
        <v>45355</v>
      </c>
    </row>
    <row r="19" spans="2:3" x14ac:dyDescent="0.3">
      <c r="B19" s="27">
        <v>45447</v>
      </c>
      <c r="C19" s="27">
        <f t="shared" si="0"/>
        <v>45386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16"/>
  <sheetViews>
    <sheetView zoomScale="130" zoomScaleNormal="130" workbookViewId="0">
      <pane ySplit="1" topLeftCell="A2" activePane="bottomLeft" state="frozen"/>
      <selection pane="bottomLeft" activeCell="C12" sqref="C12:C16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35">
      <c r="A1" s="36">
        <v>53</v>
      </c>
      <c r="B1" s="1" t="s">
        <v>620</v>
      </c>
    </row>
    <row r="2" spans="1:3" x14ac:dyDescent="0.3">
      <c r="A2" s="37" t="s">
        <v>2</v>
      </c>
    </row>
    <row r="3" spans="1:3" x14ac:dyDescent="0.3">
      <c r="B3" s="3" t="s">
        <v>616</v>
      </c>
      <c r="C3" s="3" t="s">
        <v>621</v>
      </c>
    </row>
    <row r="4" spans="1:3" x14ac:dyDescent="0.3">
      <c r="B4" s="27">
        <v>45323</v>
      </c>
      <c r="C4" s="27">
        <f>EOMONTH(B4,-1)</f>
        <v>45322</v>
      </c>
    </row>
    <row r="5" spans="1:3" x14ac:dyDescent="0.3">
      <c r="B5" s="27">
        <v>45354</v>
      </c>
      <c r="C5" s="27">
        <f>EOMONTH(B5,-1)</f>
        <v>45351</v>
      </c>
    </row>
    <row r="6" spans="1:3" x14ac:dyDescent="0.3">
      <c r="B6" s="27">
        <v>45385</v>
      </c>
      <c r="C6" s="27">
        <f>EOMONTH(B6,-1)</f>
        <v>45382</v>
      </c>
    </row>
    <row r="7" spans="1:3" x14ac:dyDescent="0.3">
      <c r="B7" s="27">
        <v>45416</v>
      </c>
      <c r="C7" s="27">
        <f>EOMONTH(B7,-1)</f>
        <v>45412</v>
      </c>
    </row>
    <row r="8" spans="1:3" x14ac:dyDescent="0.3">
      <c r="B8" s="27">
        <v>45447</v>
      </c>
      <c r="C8" s="27">
        <f>EOMONTH(B8,-1)</f>
        <v>45443</v>
      </c>
    </row>
    <row r="11" spans="1:3" x14ac:dyDescent="0.3">
      <c r="B11" s="3" t="s">
        <v>616</v>
      </c>
    </row>
    <row r="12" spans="1:3" x14ac:dyDescent="0.3">
      <c r="B12" s="27">
        <v>45323</v>
      </c>
      <c r="C12" s="30">
        <f>EOMONTH(B12,-2)</f>
        <v>45291</v>
      </c>
    </row>
    <row r="13" spans="1:3" x14ac:dyDescent="0.3">
      <c r="B13" s="27">
        <v>45354</v>
      </c>
      <c r="C13" s="30">
        <f t="shared" ref="C13:C16" si="0">EOMONTH(B13,-2)</f>
        <v>45322</v>
      </c>
    </row>
    <row r="14" spans="1:3" x14ac:dyDescent="0.3">
      <c r="B14" s="27">
        <v>45385</v>
      </c>
      <c r="C14" s="30">
        <f t="shared" si="0"/>
        <v>45351</v>
      </c>
    </row>
    <row r="15" spans="1:3" x14ac:dyDescent="0.3">
      <c r="B15" s="27">
        <v>45416</v>
      </c>
      <c r="C15" s="30">
        <f t="shared" si="0"/>
        <v>45382</v>
      </c>
    </row>
    <row r="16" spans="1:3" x14ac:dyDescent="0.3">
      <c r="B16" s="27">
        <v>45447</v>
      </c>
      <c r="C16" s="30">
        <f t="shared" si="0"/>
        <v>45412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17"/>
  <sheetViews>
    <sheetView zoomScale="130" zoomScaleNormal="130" workbookViewId="0">
      <pane ySplit="1" topLeftCell="A2" activePane="bottomLeft" state="frozen"/>
      <selection pane="bottomLeft" activeCell="D12" sqref="D12:F12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35">
      <c r="A1" s="36">
        <v>54</v>
      </c>
      <c r="B1" s="1" t="s">
        <v>622</v>
      </c>
    </row>
    <row r="2" spans="1:6" x14ac:dyDescent="0.3">
      <c r="A2" s="37" t="s">
        <v>2</v>
      </c>
    </row>
    <row r="3" spans="1:6" x14ac:dyDescent="0.3">
      <c r="B3" s="3" t="s">
        <v>623</v>
      </c>
      <c r="C3" s="3" t="s">
        <v>624</v>
      </c>
      <c r="D3" s="3" t="s">
        <v>625</v>
      </c>
      <c r="E3" s="3" t="s">
        <v>626</v>
      </c>
      <c r="F3" s="3" t="s">
        <v>627</v>
      </c>
    </row>
    <row r="4" spans="1:6" x14ac:dyDescent="0.3">
      <c r="B4" s="27">
        <v>36557</v>
      </c>
      <c r="C4" s="27">
        <f ca="1">TODAY()</f>
        <v>46244</v>
      </c>
      <c r="D4" s="4">
        <f ca="1">DATEDIF(B4,C4,"y")</f>
        <v>26</v>
      </c>
      <c r="E4" s="4">
        <f ca="1">DATEDIF(B4,C4,"m")</f>
        <v>318</v>
      </c>
      <c r="F4" s="4">
        <f ca="1">DATEDIF(B4,C4,"d")</f>
        <v>9687</v>
      </c>
    </row>
    <row r="5" spans="1:6" x14ac:dyDescent="0.3">
      <c r="B5" s="27">
        <v>43893</v>
      </c>
      <c r="C5" s="27">
        <f ca="1">TODAY()</f>
        <v>46244</v>
      </c>
      <c r="D5" s="4">
        <f ca="1">DATEDIF(B5,C5,"y")</f>
        <v>6</v>
      </c>
      <c r="E5" s="4">
        <f ca="1">DATEDIF(B5,C5,"m")</f>
        <v>77</v>
      </c>
      <c r="F5" s="4">
        <f ca="1">DATEDIF(B5,C5,"d")</f>
        <v>2351</v>
      </c>
    </row>
    <row r="6" spans="1:6" x14ac:dyDescent="0.3">
      <c r="B6" s="27">
        <v>37349</v>
      </c>
      <c r="C6" s="27">
        <f ca="1">TODAY()</f>
        <v>46244</v>
      </c>
      <c r="D6" s="4">
        <f ca="1">DATEDIF(B6,C6,"y")</f>
        <v>24</v>
      </c>
      <c r="E6" s="4">
        <f ca="1">DATEDIF(B6,C6,"m")</f>
        <v>292</v>
      </c>
      <c r="F6" s="4">
        <f ca="1">DATEDIF(B6,C6,"d")</f>
        <v>8895</v>
      </c>
    </row>
    <row r="7" spans="1:6" x14ac:dyDescent="0.3">
      <c r="B7" s="27">
        <v>39210</v>
      </c>
      <c r="C7" s="27">
        <f ca="1">TODAY()</f>
        <v>46244</v>
      </c>
      <c r="D7" s="4">
        <f ca="1">DATEDIF(B7,C7,"y")</f>
        <v>19</v>
      </c>
      <c r="E7" s="4">
        <f ca="1">DATEDIF(B7,C7,"m")</f>
        <v>231</v>
      </c>
      <c r="F7" s="4">
        <f ca="1">DATEDIF(B7,C7,"d")</f>
        <v>7034</v>
      </c>
    </row>
    <row r="8" spans="1:6" x14ac:dyDescent="0.3">
      <c r="B8" s="27">
        <v>38142</v>
      </c>
      <c r="C8" s="27">
        <f ca="1">TODAY()</f>
        <v>46244</v>
      </c>
      <c r="D8" s="4">
        <f ca="1">DATEDIF(B8,C8,"y")</f>
        <v>22</v>
      </c>
      <c r="E8" s="4">
        <f ca="1">DATEDIF(B8,C8,"m")</f>
        <v>266</v>
      </c>
      <c r="F8" s="4">
        <f ca="1">DATEDIF(B8,C8,"d")</f>
        <v>8102</v>
      </c>
    </row>
    <row r="12" spans="1:6" x14ac:dyDescent="0.3">
      <c r="B12" s="3" t="s">
        <v>623</v>
      </c>
      <c r="C12" s="3" t="s">
        <v>624</v>
      </c>
      <c r="D12" s="127" t="s">
        <v>1007</v>
      </c>
      <c r="E12" s="127" t="s">
        <v>1006</v>
      </c>
      <c r="F12" s="127" t="s">
        <v>1005</v>
      </c>
    </row>
    <row r="13" spans="1:6" x14ac:dyDescent="0.3">
      <c r="B13" s="27">
        <v>36557</v>
      </c>
      <c r="C13" s="27">
        <f ca="1">TODAY()</f>
        <v>46244</v>
      </c>
      <c r="D13" s="4">
        <f ca="1">DATEDIF(B13,C13,"y")</f>
        <v>26</v>
      </c>
      <c r="E13" s="4">
        <f ca="1">DATEDIF(B13,C13,"m")</f>
        <v>318</v>
      </c>
      <c r="F13" s="4">
        <f ca="1">DATEDIF(B13,C13,"d")</f>
        <v>9687</v>
      </c>
    </row>
    <row r="14" spans="1:6" x14ac:dyDescent="0.3">
      <c r="B14" s="27">
        <v>43893</v>
      </c>
      <c r="C14" s="27">
        <f ca="1">TODAY()</f>
        <v>46244</v>
      </c>
      <c r="D14" s="4">
        <f ca="1">DATEDIF(B14,C14,"y")</f>
        <v>6</v>
      </c>
      <c r="E14" s="4">
        <f ca="1">DATEDIF(B14,C14,"m")</f>
        <v>77</v>
      </c>
      <c r="F14" s="4">
        <f ca="1">DATEDIF(B14,C14,"d")</f>
        <v>2351</v>
      </c>
    </row>
    <row r="15" spans="1:6" x14ac:dyDescent="0.3">
      <c r="B15" s="27">
        <v>37349</v>
      </c>
      <c r="C15" s="27">
        <f ca="1">TODAY()</f>
        <v>46244</v>
      </c>
      <c r="D15" s="4">
        <f ca="1">DATEDIF(B15,C15,"y")</f>
        <v>24</v>
      </c>
      <c r="E15" s="4">
        <f ca="1">DATEDIF(B15,C15,"m")</f>
        <v>292</v>
      </c>
      <c r="F15" s="4">
        <f ca="1">DATEDIF(B15,C15,"d")</f>
        <v>8895</v>
      </c>
    </row>
    <row r="16" spans="1:6" x14ac:dyDescent="0.3">
      <c r="B16" s="27">
        <v>39210</v>
      </c>
      <c r="C16" s="27">
        <f ca="1">TODAY()</f>
        <v>46244</v>
      </c>
      <c r="D16" s="4">
        <f ca="1">DATEDIF(B16,C16,"y")</f>
        <v>19</v>
      </c>
      <c r="E16" s="4">
        <f ca="1">DATEDIF(B16,C16,"m")</f>
        <v>231</v>
      </c>
      <c r="F16" s="4">
        <f ca="1">DATEDIF(B16,C16,"d")</f>
        <v>7034</v>
      </c>
    </row>
    <row r="17" spans="2:6" x14ac:dyDescent="0.3">
      <c r="B17" s="27">
        <v>38142</v>
      </c>
      <c r="C17" s="27">
        <f ca="1">TODAY()</f>
        <v>46244</v>
      </c>
      <c r="D17" s="4">
        <f ca="1">DATEDIF(B17,C17,"y")</f>
        <v>22</v>
      </c>
      <c r="E17" s="4">
        <f ca="1">DATEDIF(B17,C17,"m")</f>
        <v>266</v>
      </c>
      <c r="F17" s="4">
        <f ca="1">DATEDIF(B17,C17,"d")</f>
        <v>8102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16"/>
  <sheetViews>
    <sheetView zoomScale="130" zoomScaleNormal="130" workbookViewId="0">
      <pane ySplit="1" topLeftCell="A2" activePane="bottomLeft" state="frozen"/>
      <selection pane="bottomLeft" activeCell="D12" sqref="D12:D16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35">
      <c r="A1" s="36">
        <v>55</v>
      </c>
      <c r="B1" s="1" t="s">
        <v>628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629</v>
      </c>
      <c r="D3" s="3" t="s">
        <v>613</v>
      </c>
      <c r="G3" s="42" t="s">
        <v>630</v>
      </c>
    </row>
    <row r="4" spans="1:7" x14ac:dyDescent="0.3">
      <c r="B4" s="27">
        <v>45293</v>
      </c>
      <c r="C4" s="4">
        <v>25</v>
      </c>
      <c r="D4" s="27">
        <f>WORKDAY(B4,C4,$G$4:$G$7)</f>
        <v>45329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WORKDAY(B5,C5,$G$4:$G$7)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WORKDAY(B6,C6,$G$4:$G$7)</f>
        <v>45390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WORKDAY(B7,C7,$G$4:$G$7)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WORKDAY(B8,C8,$G$4:$G$7)</f>
        <v>45461</v>
      </c>
    </row>
    <row r="11" spans="1:7" x14ac:dyDescent="0.3">
      <c r="B11" s="3" t="s">
        <v>612</v>
      </c>
      <c r="C11" s="3" t="s">
        <v>629</v>
      </c>
      <c r="D11" t="s">
        <v>1010</v>
      </c>
    </row>
    <row r="12" spans="1:7" x14ac:dyDescent="0.3">
      <c r="B12" s="27">
        <v>45293</v>
      </c>
      <c r="C12" s="4">
        <v>25</v>
      </c>
      <c r="D12" s="30">
        <f>WORKDAY(B12,C12,(G4))</f>
        <v>45329</v>
      </c>
    </row>
    <row r="13" spans="1:7" x14ac:dyDescent="0.3">
      <c r="B13" s="27">
        <v>45354</v>
      </c>
      <c r="C13" s="4">
        <v>5</v>
      </c>
      <c r="D13" s="30">
        <f t="shared" ref="D13:D16" si="0">WORKDAY(B13,C13,(G5))</f>
        <v>45359</v>
      </c>
    </row>
    <row r="14" spans="1:7" x14ac:dyDescent="0.3">
      <c r="B14" s="27">
        <v>45385</v>
      </c>
      <c r="C14" s="4">
        <v>3</v>
      </c>
      <c r="D14" s="30">
        <f t="shared" si="0"/>
        <v>45390</v>
      </c>
    </row>
    <row r="15" spans="1:7" x14ac:dyDescent="0.3">
      <c r="B15" s="27">
        <v>45416</v>
      </c>
      <c r="C15" s="4">
        <v>2</v>
      </c>
      <c r="D15" s="30">
        <f t="shared" si="0"/>
        <v>45419</v>
      </c>
    </row>
    <row r="16" spans="1:7" x14ac:dyDescent="0.3">
      <c r="B16" s="27">
        <v>45447</v>
      </c>
      <c r="C16" s="4">
        <v>10</v>
      </c>
      <c r="D16" s="30">
        <f t="shared" si="0"/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16"/>
  <sheetViews>
    <sheetView zoomScale="130" zoomScaleNormal="130" workbookViewId="0">
      <pane ySplit="1" topLeftCell="A2" activePane="bottomLeft" state="frozen"/>
      <selection pane="bottomLeft" activeCell="D12" sqref="D12:D16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56</v>
      </c>
      <c r="B1" s="1" t="s">
        <v>631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632</v>
      </c>
      <c r="D3" s="3" t="s">
        <v>613</v>
      </c>
      <c r="G3" s="42" t="s">
        <v>630</v>
      </c>
    </row>
    <row r="4" spans="1:7" x14ac:dyDescent="0.3">
      <c r="B4" s="27">
        <v>45323</v>
      </c>
      <c r="C4" s="4">
        <v>10</v>
      </c>
      <c r="D4" s="27">
        <f>WORKDAY.INTL(B4,C4,11,$G$4:$G$7)</f>
        <v>45335</v>
      </c>
      <c r="E4">
        <f>NETWORKDAYS.INTL(B4,D4,11)</f>
        <v>11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WORKDAY.INTL(B5,C5,11,$G$4:$G$7)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WORKDAY.INTL(B6,C6,11,$G$4:$G$7)</f>
        <v>45388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WORKDAY.INTL(B7,C7,11,$G$4:$G$7)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WORKDAY.INTL(B8,C8,11,$G$4:$G$7)</f>
        <v>45458</v>
      </c>
    </row>
    <row r="11" spans="1:7" x14ac:dyDescent="0.3">
      <c r="B11" s="3" t="s">
        <v>612</v>
      </c>
      <c r="C11" s="3" t="s">
        <v>632</v>
      </c>
      <c r="D11" t="s">
        <v>1010</v>
      </c>
    </row>
    <row r="12" spans="1:7" x14ac:dyDescent="0.3">
      <c r="B12" s="27">
        <v>45323</v>
      </c>
      <c r="C12" s="4">
        <v>10</v>
      </c>
      <c r="D12" s="30">
        <f>WORKDAY.INTL(B12,C12,11,(G4))</f>
        <v>45335</v>
      </c>
    </row>
    <row r="13" spans="1:7" x14ac:dyDescent="0.3">
      <c r="B13" s="27">
        <v>45354</v>
      </c>
      <c r="C13" s="4">
        <v>5</v>
      </c>
      <c r="D13" s="30">
        <f t="shared" ref="D13:D16" si="0">WORKDAY.INTL(B13,C13,11,(G5))</f>
        <v>45359</v>
      </c>
    </row>
    <row r="14" spans="1:7" x14ac:dyDescent="0.3">
      <c r="B14" s="27">
        <v>45385</v>
      </c>
      <c r="C14" s="4">
        <v>3</v>
      </c>
      <c r="D14" s="30">
        <f t="shared" si="0"/>
        <v>45388</v>
      </c>
    </row>
    <row r="15" spans="1:7" x14ac:dyDescent="0.3">
      <c r="B15" s="27">
        <v>45416</v>
      </c>
      <c r="C15" s="4">
        <v>2</v>
      </c>
      <c r="D15" s="30">
        <f t="shared" si="0"/>
        <v>45419</v>
      </c>
    </row>
    <row r="16" spans="1:7" x14ac:dyDescent="0.3">
      <c r="B16" s="27">
        <v>45447</v>
      </c>
      <c r="C16" s="4">
        <v>10</v>
      </c>
      <c r="D16" s="30">
        <f t="shared" si="0"/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16"/>
  <sheetViews>
    <sheetView zoomScale="130" zoomScaleNormal="130" workbookViewId="0">
      <pane ySplit="1" topLeftCell="A2" activePane="bottomLeft" state="frozen"/>
      <selection pane="bottomLeft" activeCell="D12" sqref="D12:D16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16.296875" customWidth="1"/>
    <col min="7" max="7" width="19" customWidth="1"/>
  </cols>
  <sheetData>
    <row r="1" spans="1:7" s="2" customFormat="1" ht="32.65" customHeight="1" thickBot="1" x14ac:dyDescent="0.35">
      <c r="A1" s="36">
        <v>57</v>
      </c>
      <c r="B1" s="1" t="s">
        <v>633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634</v>
      </c>
      <c r="D3" s="3" t="s">
        <v>635</v>
      </c>
      <c r="G3" s="3" t="s">
        <v>630</v>
      </c>
    </row>
    <row r="4" spans="1:7" x14ac:dyDescent="0.3">
      <c r="B4" s="27">
        <v>45292</v>
      </c>
      <c r="C4" s="27">
        <v>45319</v>
      </c>
      <c r="D4" s="4">
        <f>NETWORKDAYS(B4,C4,$G$4:$G$7)</f>
        <v>19</v>
      </c>
      <c r="E4">
        <f>NETWORKDAYS(B4,C4,G4)</f>
        <v>19</v>
      </c>
      <c r="G4" s="30">
        <v>45317</v>
      </c>
    </row>
    <row r="5" spans="1:7" x14ac:dyDescent="0.3">
      <c r="B5" s="27">
        <v>45354</v>
      </c>
      <c r="C5" s="27">
        <v>45397</v>
      </c>
      <c r="D5" s="4">
        <f>NETWORKDAYS(B5,C5,$G$4:$G$7)</f>
        <v>31</v>
      </c>
      <c r="G5" s="27">
        <v>45519</v>
      </c>
    </row>
    <row r="6" spans="1:7" x14ac:dyDescent="0.3">
      <c r="B6" s="27">
        <v>45385</v>
      </c>
      <c r="C6" s="27">
        <v>45394</v>
      </c>
      <c r="D6" s="4">
        <f>NETWORKDAYS(B6,C6,$G$4:$G$7)</f>
        <v>8</v>
      </c>
      <c r="G6" s="27">
        <v>45932</v>
      </c>
    </row>
    <row r="7" spans="1:7" x14ac:dyDescent="0.3">
      <c r="B7" s="27">
        <v>45325</v>
      </c>
      <c r="C7" s="27">
        <v>45337</v>
      </c>
      <c r="D7" s="4">
        <f>NETWORKDAYS(B7,C7,$G$4:$G$7)</f>
        <v>9</v>
      </c>
      <c r="G7" s="4"/>
    </row>
    <row r="8" spans="1:7" x14ac:dyDescent="0.3">
      <c r="B8" s="27">
        <v>45354</v>
      </c>
      <c r="C8" s="27">
        <v>45368</v>
      </c>
      <c r="D8" s="4">
        <f>NETWORKDAYS(B8,C8,$G$4:$G$7)</f>
        <v>10</v>
      </c>
    </row>
    <row r="11" spans="1:7" x14ac:dyDescent="0.3">
      <c r="B11" s="3" t="s">
        <v>612</v>
      </c>
      <c r="C11" s="3" t="s">
        <v>634</v>
      </c>
      <c r="D11" t="s">
        <v>1010</v>
      </c>
    </row>
    <row r="12" spans="1:7" x14ac:dyDescent="0.3">
      <c r="B12" s="27">
        <v>45292</v>
      </c>
      <c r="C12" s="27">
        <v>45319</v>
      </c>
      <c r="D12">
        <f>NETWORKDAYS(B12,C12,(G4))</f>
        <v>19</v>
      </c>
    </row>
    <row r="13" spans="1:7" x14ac:dyDescent="0.3">
      <c r="B13" s="27">
        <v>45354</v>
      </c>
      <c r="C13" s="27">
        <v>45397</v>
      </c>
      <c r="D13">
        <f t="shared" ref="D13:D16" si="0">NETWORKDAYS(B13,C13,(G5))</f>
        <v>31</v>
      </c>
    </row>
    <row r="14" spans="1:7" x14ac:dyDescent="0.3">
      <c r="B14" s="27">
        <v>45385</v>
      </c>
      <c r="C14" s="27">
        <v>45394</v>
      </c>
      <c r="D14">
        <f t="shared" si="0"/>
        <v>8</v>
      </c>
    </row>
    <row r="15" spans="1:7" x14ac:dyDescent="0.3">
      <c r="B15" s="27">
        <v>45325</v>
      </c>
      <c r="C15" s="27">
        <v>45337</v>
      </c>
      <c r="D15">
        <f t="shared" si="0"/>
        <v>9</v>
      </c>
    </row>
    <row r="16" spans="1:7" x14ac:dyDescent="0.3">
      <c r="B16" s="27">
        <v>45354</v>
      </c>
      <c r="C16" s="27">
        <v>45368</v>
      </c>
      <c r="D16">
        <f t="shared" si="0"/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5" sqref="D5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58</v>
      </c>
      <c r="B1" s="1" t="s">
        <v>636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634</v>
      </c>
      <c r="D3" s="3" t="s">
        <v>613</v>
      </c>
      <c r="G3" s="3" t="s">
        <v>630</v>
      </c>
    </row>
    <row r="4" spans="1:7" x14ac:dyDescent="0.3">
      <c r="B4" s="27">
        <v>45292</v>
      </c>
      <c r="C4" s="27">
        <v>45319</v>
      </c>
      <c r="D4" s="4">
        <f>NETWORKDAYS.INTL(B4,C4,11,$G$4:$G$7)</f>
        <v>23</v>
      </c>
      <c r="G4" s="30">
        <v>45317</v>
      </c>
    </row>
    <row r="5" spans="1:7" x14ac:dyDescent="0.3">
      <c r="B5" s="27">
        <v>45354</v>
      </c>
      <c r="C5" s="27">
        <v>45337</v>
      </c>
      <c r="D5" s="146" t="e">
        <f>NETWORKDAYS.INTL(B4,C4,(G4))</f>
        <v>#NUM!</v>
      </c>
      <c r="G5" s="27">
        <v>45519</v>
      </c>
    </row>
    <row r="6" spans="1:7" x14ac:dyDescent="0.3">
      <c r="B6" s="27">
        <v>45385</v>
      </c>
      <c r="C6" s="27">
        <v>45394</v>
      </c>
      <c r="D6" s="4"/>
      <c r="G6" s="27">
        <v>45932</v>
      </c>
    </row>
    <row r="7" spans="1:7" x14ac:dyDescent="0.3">
      <c r="B7" s="27">
        <v>45354</v>
      </c>
      <c r="C7" s="27">
        <v>45337</v>
      </c>
      <c r="D7" s="4"/>
      <c r="G7" s="4"/>
    </row>
    <row r="8" spans="1:7" x14ac:dyDescent="0.3">
      <c r="B8" s="27">
        <v>45354</v>
      </c>
      <c r="C8" s="27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9"/>
  <sheetViews>
    <sheetView zoomScale="130" zoomScaleNormal="130" workbookViewId="0">
      <pane ySplit="1" topLeftCell="A15" activePane="bottomLeft" state="frozen"/>
      <selection pane="bottomLeft" activeCell="H26" sqref="H26"/>
    </sheetView>
  </sheetViews>
  <sheetFormatPr defaultRowHeight="18.75" x14ac:dyDescent="0.3"/>
  <cols>
    <col min="2" max="2" width="15.19921875" customWidth="1"/>
    <col min="3" max="3" width="10.19921875" customWidth="1"/>
    <col min="4" max="4" width="10.69921875" bestFit="1" customWidth="1"/>
    <col min="5" max="5" width="3.5" customWidth="1"/>
    <col min="6" max="6" width="13.19921875" customWidth="1"/>
    <col min="7" max="7" width="9.59765625" customWidth="1"/>
    <col min="8" max="8" width="25.5" customWidth="1"/>
    <col min="10" max="10" width="12.69921875" bestFit="1" customWidth="1"/>
  </cols>
  <sheetData>
    <row r="1" spans="1:10" s="2" customFormat="1" ht="32.65" customHeight="1" thickBot="1" x14ac:dyDescent="0.35">
      <c r="A1" s="36">
        <v>59</v>
      </c>
      <c r="B1" s="1" t="s">
        <v>637</v>
      </c>
    </row>
    <row r="2" spans="1:10" x14ac:dyDescent="0.3">
      <c r="A2" s="37" t="s">
        <v>2</v>
      </c>
    </row>
    <row r="3" spans="1:10" x14ac:dyDescent="0.3">
      <c r="B3" s="42" t="s">
        <v>638</v>
      </c>
      <c r="C3" s="3" t="s">
        <v>639</v>
      </c>
      <c r="D3" s="3" t="s">
        <v>640</v>
      </c>
      <c r="F3" s="42" t="s">
        <v>638</v>
      </c>
      <c r="G3" s="3" t="s">
        <v>639</v>
      </c>
      <c r="H3" s="3" t="s">
        <v>641</v>
      </c>
      <c r="J3" s="38"/>
    </row>
    <row r="4" spans="1:10" x14ac:dyDescent="0.3">
      <c r="B4" s="39" t="s">
        <v>642</v>
      </c>
      <c r="C4" s="43">
        <v>34</v>
      </c>
      <c r="D4" s="4" t="str">
        <f>IF(C4&gt;=40,"Pass","Fail")</f>
        <v>Fail</v>
      </c>
      <c r="F4" s="39" t="s">
        <v>642</v>
      </c>
      <c r="G4" s="43">
        <v>34</v>
      </c>
      <c r="H4" s="4">
        <f>IF(G4&lt;40,G4+5,G4)</f>
        <v>39</v>
      </c>
    </row>
    <row r="5" spans="1:10" x14ac:dyDescent="0.3">
      <c r="B5" s="39" t="s">
        <v>643</v>
      </c>
      <c r="C5" s="43">
        <v>54</v>
      </c>
      <c r="D5" s="4" t="str">
        <f>IF(C5&gt;=40,"Pass","Fail")</f>
        <v>Pass</v>
      </c>
      <c r="F5" s="39" t="s">
        <v>643</v>
      </c>
      <c r="G5" s="43">
        <v>54</v>
      </c>
      <c r="H5" s="4">
        <f>IF(G5&lt;40,G5+5,G5)</f>
        <v>54</v>
      </c>
    </row>
    <row r="6" spans="1:10" x14ac:dyDescent="0.3">
      <c r="B6" s="39" t="s">
        <v>644</v>
      </c>
      <c r="C6" s="43">
        <v>33</v>
      </c>
      <c r="D6" s="4" t="str">
        <f>IF(C6&gt;=40,"Pass","Fail")</f>
        <v>Fail</v>
      </c>
      <c r="F6" s="39" t="s">
        <v>644</v>
      </c>
      <c r="G6" s="43">
        <v>87</v>
      </c>
      <c r="H6" s="4">
        <f>IF(G6&lt;40,G6+5,G6)</f>
        <v>87</v>
      </c>
    </row>
    <row r="7" spans="1:10" x14ac:dyDescent="0.3">
      <c r="B7" s="39" t="s">
        <v>645</v>
      </c>
      <c r="C7" s="43">
        <v>55</v>
      </c>
      <c r="D7" s="4" t="str">
        <f>IF(C7&gt;=40,"Pass","Fail")</f>
        <v>Pass</v>
      </c>
      <c r="F7" s="39" t="s">
        <v>645</v>
      </c>
      <c r="G7" s="43">
        <v>55</v>
      </c>
      <c r="H7" s="4">
        <f>IF(G7&lt;40,G7+5,G7)</f>
        <v>55</v>
      </c>
    </row>
    <row r="8" spans="1:10" x14ac:dyDescent="0.3">
      <c r="B8" s="39" t="s">
        <v>646</v>
      </c>
      <c r="C8" s="43">
        <v>13</v>
      </c>
      <c r="D8" s="4" t="str">
        <f>IF(C8&gt;=40,"Pass","Fail")</f>
        <v>Fail</v>
      </c>
      <c r="F8" s="56" t="s">
        <v>646</v>
      </c>
      <c r="G8" s="43">
        <v>13</v>
      </c>
      <c r="H8" s="4">
        <f>IF(G8&lt;40,G8+5,G8)</f>
        <v>18</v>
      </c>
    </row>
    <row r="10" spans="1:10" x14ac:dyDescent="0.3">
      <c r="B10" s="42" t="s">
        <v>638</v>
      </c>
      <c r="C10" s="3" t="s">
        <v>639</v>
      </c>
      <c r="D10" s="3" t="s">
        <v>647</v>
      </c>
      <c r="F10" s="42" t="s">
        <v>638</v>
      </c>
      <c r="G10" s="3" t="s">
        <v>639</v>
      </c>
      <c r="H10" s="3" t="s">
        <v>648</v>
      </c>
    </row>
    <row r="11" spans="1:10" x14ac:dyDescent="0.3">
      <c r="B11" s="39" t="s">
        <v>642</v>
      </c>
      <c r="C11" s="43">
        <v>56</v>
      </c>
      <c r="D11" s="4" t="str">
        <f>IF(C11&lt;40,B11,"")</f>
        <v/>
      </c>
      <c r="F11" s="39" t="s">
        <v>642</v>
      </c>
      <c r="G11" s="43">
        <v>34</v>
      </c>
      <c r="H11" s="4" t="str">
        <f>IF(G11&gt;=40,"✔️","❌")</f>
        <v>❌</v>
      </c>
    </row>
    <row r="12" spans="1:10" x14ac:dyDescent="0.3">
      <c r="B12" s="39" t="s">
        <v>643</v>
      </c>
      <c r="C12" s="43">
        <v>12</v>
      </c>
      <c r="D12" s="4" t="str">
        <f>IF(C12&lt;40,B12,"")</f>
        <v>Ritesh S.</v>
      </c>
      <c r="F12" s="39" t="s">
        <v>643</v>
      </c>
      <c r="G12" s="43">
        <v>54</v>
      </c>
      <c r="H12" s="4" t="str">
        <f>IF(G12&gt;=40,"✔️","❌")</f>
        <v>✔️</v>
      </c>
    </row>
    <row r="13" spans="1:10" x14ac:dyDescent="0.3">
      <c r="B13" s="39" t="s">
        <v>644</v>
      </c>
      <c r="C13" s="43">
        <v>13</v>
      </c>
      <c r="D13" s="4" t="str">
        <f>IF(C13&lt;40,B13,"")</f>
        <v>Naveen Yadav</v>
      </c>
      <c r="F13" s="39" t="s">
        <v>644</v>
      </c>
      <c r="G13" s="43">
        <v>87</v>
      </c>
      <c r="H13" s="4" t="str">
        <f>IF(G13&gt;=40,"✔️","❌")</f>
        <v>✔️</v>
      </c>
    </row>
    <row r="14" spans="1:10" x14ac:dyDescent="0.3">
      <c r="B14" s="39" t="s">
        <v>645</v>
      </c>
      <c r="C14" s="43">
        <v>44</v>
      </c>
      <c r="D14" s="4" t="str">
        <f>IF(C14&lt;40,B14,"")</f>
        <v/>
      </c>
      <c r="F14" s="39" t="s">
        <v>645</v>
      </c>
      <c r="G14" s="43">
        <v>55</v>
      </c>
      <c r="H14" s="4" t="str">
        <f>IF(G14&gt;=40,"✔️","❌")</f>
        <v>✔️</v>
      </c>
    </row>
    <row r="15" spans="1:10" x14ac:dyDescent="0.3">
      <c r="A15" s="37" t="s">
        <v>2</v>
      </c>
    </row>
    <row r="16" spans="1:10" x14ac:dyDescent="0.3">
      <c r="B16" s="3" t="s">
        <v>638</v>
      </c>
      <c r="C16" s="3" t="s">
        <v>649</v>
      </c>
      <c r="D16" s="152" t="s">
        <v>650</v>
      </c>
      <c r="E16" s="152"/>
      <c r="F16" s="152"/>
    </row>
    <row r="17" spans="2:6" x14ac:dyDescent="0.3">
      <c r="B17" s="27" t="s">
        <v>651</v>
      </c>
      <c r="C17" s="4" t="s">
        <v>652</v>
      </c>
      <c r="D17" s="151" t="str">
        <f>IF(C17="male","Mr. "&amp;B17,"Mis "&amp;B17)</f>
        <v>Mr. Raj Kumar</v>
      </c>
      <c r="E17" s="151"/>
      <c r="F17" s="151"/>
    </row>
    <row r="18" spans="2:6" x14ac:dyDescent="0.3">
      <c r="B18" s="27" t="s">
        <v>500</v>
      </c>
      <c r="C18" s="4" t="s">
        <v>653</v>
      </c>
      <c r="D18" s="151" t="str">
        <f>IF(C18="male","Mr. "&amp;B18,"Mis "&amp;B18)</f>
        <v>Mis Tejal</v>
      </c>
      <c r="E18" s="151"/>
      <c r="F18" s="151"/>
    </row>
    <row r="19" spans="2:6" x14ac:dyDescent="0.3">
      <c r="B19" s="27" t="s">
        <v>654</v>
      </c>
      <c r="C19" s="4" t="s">
        <v>652</v>
      </c>
      <c r="D19" s="151" t="str">
        <f>IF(C19="male","Mr. "&amp;B19,"Mis "&amp;B19)</f>
        <v>Mr. Anil Kumar</v>
      </c>
      <c r="E19" s="151"/>
      <c r="F19" s="151"/>
    </row>
    <row r="20" spans="2:6" x14ac:dyDescent="0.3">
      <c r="B20" s="27" t="s">
        <v>655</v>
      </c>
      <c r="C20" s="4" t="s">
        <v>653</v>
      </c>
      <c r="D20" s="151" t="str">
        <f>IF(C20="male","Mr. "&amp;B20,"Mis "&amp;B20)</f>
        <v>Mis Reena</v>
      </c>
      <c r="E20" s="151"/>
      <c r="F20" s="151"/>
    </row>
    <row r="21" spans="2:6" x14ac:dyDescent="0.3">
      <c r="B21" s="27" t="s">
        <v>545</v>
      </c>
      <c r="C21" s="4" t="s">
        <v>652</v>
      </c>
      <c r="D21" s="151" t="str">
        <f>IF(C21="male","Mr. "&amp;B21,"Mis "&amp;B21)</f>
        <v>Mr. Deepak</v>
      </c>
      <c r="E21" s="151"/>
      <c r="F21" s="151"/>
    </row>
    <row r="24" spans="2:6" x14ac:dyDescent="0.3">
      <c r="B24" s="3" t="s">
        <v>638</v>
      </c>
      <c r="C24" s="3" t="s">
        <v>649</v>
      </c>
      <c r="D24" s="152" t="s">
        <v>650</v>
      </c>
      <c r="E24" s="152"/>
      <c r="F24" s="152"/>
    </row>
    <row r="25" spans="2:6" x14ac:dyDescent="0.3">
      <c r="B25" s="27" t="s">
        <v>651</v>
      </c>
      <c r="C25" s="4" t="s">
        <v>652</v>
      </c>
      <c r="D25" s="151" t="str">
        <f>IF(C25="male","Mr. "&amp;B25,"Mis "&amp;B25)</f>
        <v>Mr. Raj Kumar</v>
      </c>
      <c r="E25" s="151"/>
      <c r="F25" s="151"/>
    </row>
    <row r="26" spans="2:6" x14ac:dyDescent="0.3">
      <c r="B26" s="27" t="s">
        <v>500</v>
      </c>
      <c r="C26" s="4" t="s">
        <v>653</v>
      </c>
      <c r="D26" s="151" t="str">
        <f>IF(C26="male","Mr. "&amp;B26,"Mis "&amp;B26)</f>
        <v>Mis Tejal</v>
      </c>
      <c r="E26" s="151"/>
      <c r="F26" s="151"/>
    </row>
    <row r="27" spans="2:6" x14ac:dyDescent="0.3">
      <c r="B27" s="27" t="s">
        <v>654</v>
      </c>
      <c r="C27" s="4" t="s">
        <v>652</v>
      </c>
      <c r="D27" s="151" t="str">
        <f>IF(C27="male","Mr. "&amp;B27,"Mis "&amp;B27)</f>
        <v>Mr. Anil Kumar</v>
      </c>
      <c r="E27" s="151"/>
      <c r="F27" s="151"/>
    </row>
    <row r="28" spans="2:6" x14ac:dyDescent="0.3">
      <c r="B28" s="27" t="s">
        <v>655</v>
      </c>
      <c r="C28" s="4" t="s">
        <v>653</v>
      </c>
      <c r="D28" s="151" t="str">
        <f>IF(C28="male","Mr. "&amp;B28,"Mis "&amp;B28)</f>
        <v>Mis Reena</v>
      </c>
      <c r="E28" s="151"/>
      <c r="F28" s="151"/>
    </row>
    <row r="29" spans="2:6" x14ac:dyDescent="0.3">
      <c r="B29" s="27" t="s">
        <v>545</v>
      </c>
      <c r="C29" s="4" t="s">
        <v>652</v>
      </c>
      <c r="D29" s="151" t="str">
        <f>IF(C29="male","Mr. "&amp;B29,"Mis "&amp;B29)</f>
        <v>Mr. Deepak</v>
      </c>
      <c r="E29" s="151"/>
      <c r="F29" s="151"/>
    </row>
  </sheetData>
  <mergeCells count="12">
    <mergeCell ref="D29:F29"/>
    <mergeCell ref="D24:F24"/>
    <mergeCell ref="D25:F25"/>
    <mergeCell ref="D26:F26"/>
    <mergeCell ref="D27:F27"/>
    <mergeCell ref="D28:F28"/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36"/>
  <sheetViews>
    <sheetView zoomScale="130" zoomScaleNormal="130" workbookViewId="0">
      <pane ySplit="1" topLeftCell="A23" activePane="bottomLeft" state="frozen"/>
      <selection pane="bottomLeft" activeCell="G35" sqref="G35"/>
    </sheetView>
  </sheetViews>
  <sheetFormatPr defaultRowHeight="18.75" x14ac:dyDescent="0.3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35">
      <c r="A1" s="36">
        <v>60</v>
      </c>
      <c r="B1" s="1" t="s">
        <v>656</v>
      </c>
    </row>
    <row r="2" spans="1:7" x14ac:dyDescent="0.3">
      <c r="A2" s="37" t="s">
        <v>2</v>
      </c>
    </row>
    <row r="3" spans="1:7" x14ac:dyDescent="0.3">
      <c r="B3" s="42" t="s">
        <v>638</v>
      </c>
      <c r="C3" s="3" t="s">
        <v>193</v>
      </c>
      <c r="D3" s="3" t="s">
        <v>194</v>
      </c>
      <c r="E3" s="3" t="s">
        <v>195</v>
      </c>
      <c r="F3" s="3" t="s">
        <v>640</v>
      </c>
    </row>
    <row r="4" spans="1:7" x14ac:dyDescent="0.3">
      <c r="B4" s="39" t="s">
        <v>657</v>
      </c>
      <c r="C4" s="43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">
      <c r="B5" s="39" t="s">
        <v>658</v>
      </c>
      <c r="C5" s="43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">
      <c r="B6" s="39" t="s">
        <v>659</v>
      </c>
      <c r="C6" s="43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">
      <c r="B7" s="39" t="s">
        <v>660</v>
      </c>
      <c r="C7" s="43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">
      <c r="B8" s="39" t="s">
        <v>661</v>
      </c>
      <c r="C8" s="43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">
      <c r="B10" s="30" t="s">
        <v>662</v>
      </c>
    </row>
    <row r="14" spans="1:7" x14ac:dyDescent="0.3">
      <c r="A14" s="37" t="s">
        <v>2</v>
      </c>
    </row>
    <row r="16" spans="1:7" x14ac:dyDescent="0.3">
      <c r="B16" s="3" t="s">
        <v>663</v>
      </c>
      <c r="C16" s="3" t="s">
        <v>664</v>
      </c>
      <c r="D16" s="3" t="s">
        <v>84</v>
      </c>
      <c r="E16" s="3" t="s">
        <v>665</v>
      </c>
      <c r="F16" s="3" t="s">
        <v>666</v>
      </c>
    </row>
    <row r="17" spans="2:6" x14ac:dyDescent="0.3">
      <c r="B17" s="27" t="s">
        <v>651</v>
      </c>
      <c r="C17" s="4" t="s">
        <v>667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3">
      <c r="B18" s="27" t="s">
        <v>668</v>
      </c>
      <c r="C18" s="4" t="s">
        <v>669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3">
      <c r="B19" s="27" t="s">
        <v>654</v>
      </c>
      <c r="C19" s="4" t="s">
        <v>667</v>
      </c>
      <c r="D19" s="4" t="s">
        <v>90</v>
      </c>
      <c r="E19" s="4">
        <v>22000</v>
      </c>
      <c r="F19" s="4">
        <f t="shared" si="0"/>
        <v>1000</v>
      </c>
    </row>
    <row r="20" spans="2:6" x14ac:dyDescent="0.3">
      <c r="B20" s="27" t="s">
        <v>408</v>
      </c>
      <c r="C20" s="4" t="s">
        <v>667</v>
      </c>
      <c r="D20" s="4" t="s">
        <v>94</v>
      </c>
      <c r="E20" s="4">
        <v>5000</v>
      </c>
      <c r="F20" s="4" t="str">
        <f t="shared" si="0"/>
        <v/>
      </c>
    </row>
    <row r="21" spans="2:6" x14ac:dyDescent="0.3">
      <c r="B21" s="27" t="s">
        <v>545</v>
      </c>
      <c r="C21" s="4" t="s">
        <v>670</v>
      </c>
      <c r="D21" s="4" t="s">
        <v>117</v>
      </c>
      <c r="E21" s="4">
        <v>11000</v>
      </c>
      <c r="F21" s="4" t="str">
        <f t="shared" si="0"/>
        <v/>
      </c>
    </row>
    <row r="22" spans="2:6" x14ac:dyDescent="0.3">
      <c r="B22" s="27" t="s">
        <v>408</v>
      </c>
      <c r="C22" s="4" t="s">
        <v>670</v>
      </c>
      <c r="D22" s="4" t="s">
        <v>94</v>
      </c>
      <c r="E22" s="4">
        <v>7000</v>
      </c>
      <c r="F22" s="4" t="str">
        <f t="shared" si="0"/>
        <v/>
      </c>
    </row>
    <row r="23" spans="2:6" x14ac:dyDescent="0.3">
      <c r="B23" s="27" t="s">
        <v>545</v>
      </c>
      <c r="C23" s="4" t="s">
        <v>667</v>
      </c>
      <c r="D23" s="4" t="s">
        <v>94</v>
      </c>
      <c r="E23" s="4">
        <v>25000</v>
      </c>
      <c r="F23" s="4">
        <f t="shared" si="0"/>
        <v>1000</v>
      </c>
    </row>
    <row r="24" spans="2:6" x14ac:dyDescent="0.3">
      <c r="B24" s="27" t="s">
        <v>408</v>
      </c>
      <c r="C24" s="4" t="s">
        <v>667</v>
      </c>
      <c r="D24" s="4" t="s">
        <v>90</v>
      </c>
      <c r="E24" s="4">
        <v>16000</v>
      </c>
      <c r="F24" s="4" t="str">
        <f t="shared" si="0"/>
        <v/>
      </c>
    </row>
    <row r="26" spans="2:6" x14ac:dyDescent="0.3">
      <c r="B26" s="30" t="s">
        <v>671</v>
      </c>
    </row>
    <row r="28" spans="2:6" x14ac:dyDescent="0.3">
      <c r="B28" s="3" t="s">
        <v>663</v>
      </c>
      <c r="C28" s="3" t="s">
        <v>664</v>
      </c>
      <c r="D28" s="3" t="s">
        <v>84</v>
      </c>
      <c r="E28" s="3" t="s">
        <v>665</v>
      </c>
      <c r="F28" s="144" t="s">
        <v>1011</v>
      </c>
    </row>
    <row r="29" spans="2:6" x14ac:dyDescent="0.3">
      <c r="B29" s="27" t="s">
        <v>651</v>
      </c>
      <c r="C29" s="4" t="s">
        <v>667</v>
      </c>
      <c r="D29" s="4" t="s">
        <v>90</v>
      </c>
      <c r="E29" s="4">
        <v>10000</v>
      </c>
      <c r="F29" s="4" t="str">
        <f>IF(AND(C29="it",E29&gt;20000),1000,"")</f>
        <v/>
      </c>
    </row>
    <row r="30" spans="2:6" x14ac:dyDescent="0.3">
      <c r="B30" s="27" t="s">
        <v>668</v>
      </c>
      <c r="C30" s="4" t="s">
        <v>669</v>
      </c>
      <c r="D30" s="4" t="s">
        <v>92</v>
      </c>
      <c r="E30" s="4">
        <v>15000</v>
      </c>
      <c r="F30" s="4" t="str">
        <f t="shared" ref="F30:F36" si="1">IF(AND(C30="it",E30&gt;20000),1000,"")</f>
        <v/>
      </c>
    </row>
    <row r="31" spans="2:6" x14ac:dyDescent="0.3">
      <c r="B31" s="27" t="s">
        <v>654</v>
      </c>
      <c r="C31" s="4" t="s">
        <v>667</v>
      </c>
      <c r="D31" s="4" t="s">
        <v>90</v>
      </c>
      <c r="E31" s="4">
        <v>22000</v>
      </c>
      <c r="F31" s="4">
        <f t="shared" si="1"/>
        <v>1000</v>
      </c>
    </row>
    <row r="32" spans="2:6" x14ac:dyDescent="0.3">
      <c r="B32" s="27" t="s">
        <v>408</v>
      </c>
      <c r="C32" s="4" t="s">
        <v>667</v>
      </c>
      <c r="D32" s="4" t="s">
        <v>94</v>
      </c>
      <c r="E32" s="4">
        <v>5000</v>
      </c>
      <c r="F32" s="4" t="str">
        <f t="shared" si="1"/>
        <v/>
      </c>
    </row>
    <row r="33" spans="2:6" x14ac:dyDescent="0.3">
      <c r="B33" s="27" t="s">
        <v>545</v>
      </c>
      <c r="C33" s="4" t="s">
        <v>670</v>
      </c>
      <c r="D33" s="4" t="s">
        <v>117</v>
      </c>
      <c r="E33" s="4">
        <v>11000</v>
      </c>
      <c r="F33" s="4" t="str">
        <f t="shared" si="1"/>
        <v/>
      </c>
    </row>
    <row r="34" spans="2:6" x14ac:dyDescent="0.3">
      <c r="B34" s="27" t="s">
        <v>408</v>
      </c>
      <c r="C34" s="4" t="s">
        <v>670</v>
      </c>
      <c r="D34" s="4" t="s">
        <v>94</v>
      </c>
      <c r="E34" s="4">
        <v>7000</v>
      </c>
      <c r="F34" s="4" t="str">
        <f t="shared" si="1"/>
        <v/>
      </c>
    </row>
    <row r="35" spans="2:6" x14ac:dyDescent="0.3">
      <c r="B35" s="27" t="s">
        <v>545</v>
      </c>
      <c r="C35" s="4" t="s">
        <v>667</v>
      </c>
      <c r="D35" s="4" t="s">
        <v>94</v>
      </c>
      <c r="E35" s="4">
        <v>25000</v>
      </c>
      <c r="F35" s="4">
        <f t="shared" si="1"/>
        <v>1000</v>
      </c>
    </row>
    <row r="36" spans="2:6" x14ac:dyDescent="0.3">
      <c r="B36" s="27" t="s">
        <v>408</v>
      </c>
      <c r="C36" s="4" t="s">
        <v>667</v>
      </c>
      <c r="D36" s="4" t="s">
        <v>90</v>
      </c>
      <c r="E36" s="4">
        <v>16000</v>
      </c>
      <c r="F36" s="4" t="str">
        <f t="shared" si="1"/>
        <v/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J26"/>
  <sheetViews>
    <sheetView zoomScale="130" zoomScaleNormal="130" workbookViewId="0">
      <pane ySplit="1" topLeftCell="A8" activePane="bottomLeft" state="frozen"/>
      <selection pane="bottomLeft" activeCell="J18" sqref="J18:J25"/>
    </sheetView>
  </sheetViews>
  <sheetFormatPr defaultRowHeight="18.75" x14ac:dyDescent="0.3"/>
  <cols>
    <col min="2" max="2" width="14.796875" customWidth="1"/>
    <col min="3" max="3" width="10.796875" customWidth="1"/>
    <col min="4" max="4" width="25.69921875" customWidth="1"/>
    <col min="5" max="5" width="3.5" customWidth="1"/>
    <col min="7" max="7" width="13.296875" bestFit="1" customWidth="1"/>
    <col min="8" max="8" width="10.296875" customWidth="1"/>
    <col min="9" max="9" width="11.3984375" customWidth="1"/>
    <col min="10" max="10" width="12.5" customWidth="1"/>
  </cols>
  <sheetData>
    <row r="1" spans="1:7" s="2" customFormat="1" ht="32.65" customHeight="1" thickBot="1" x14ac:dyDescent="0.35">
      <c r="A1" s="36">
        <v>61</v>
      </c>
      <c r="B1" s="1" t="s">
        <v>672</v>
      </c>
    </row>
    <row r="2" spans="1:7" x14ac:dyDescent="0.3">
      <c r="A2" s="37" t="s">
        <v>2</v>
      </c>
    </row>
    <row r="3" spans="1:7" x14ac:dyDescent="0.3">
      <c r="B3" s="40" t="s">
        <v>638</v>
      </c>
      <c r="C3" s="3" t="s">
        <v>673</v>
      </c>
      <c r="D3" s="3" t="s">
        <v>674</v>
      </c>
    </row>
    <row r="4" spans="1:7" x14ac:dyDescent="0.3">
      <c r="B4" s="39" t="s">
        <v>675</v>
      </c>
      <c r="C4" s="4" t="s">
        <v>676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">
      <c r="B5" s="39" t="s">
        <v>677</v>
      </c>
      <c r="C5" s="4" t="s">
        <v>678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">
      <c r="B6" s="39" t="s">
        <v>679</v>
      </c>
      <c r="C6" s="4" t="s">
        <v>680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">
      <c r="B7" s="39" t="s">
        <v>681</v>
      </c>
      <c r="C7" s="4" t="s">
        <v>676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">
      <c r="B8" s="39" t="s">
        <v>682</v>
      </c>
      <c r="C8" s="4" t="s">
        <v>678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">
      <c r="B10" s="30" t="s">
        <v>683</v>
      </c>
    </row>
    <row r="11" spans="1:7" x14ac:dyDescent="0.3">
      <c r="A11" s="37" t="s">
        <v>2</v>
      </c>
    </row>
    <row r="16" spans="1:7" x14ac:dyDescent="0.3">
      <c r="B16" s="3" t="s">
        <v>638</v>
      </c>
      <c r="C16" s="3" t="s">
        <v>684</v>
      </c>
      <c r="D16" s="3" t="s">
        <v>640</v>
      </c>
      <c r="G16" s="38"/>
    </row>
    <row r="17" spans="2:10" x14ac:dyDescent="0.3">
      <c r="B17" s="39" t="s">
        <v>685</v>
      </c>
      <c r="C17" s="33">
        <v>0.45</v>
      </c>
      <c r="D17" s="4" t="b">
        <f>J18=IF(OR(C17&lt;40%,C17="A"),"fail","pass")</f>
        <v>1</v>
      </c>
      <c r="H17" s="3" t="s">
        <v>638</v>
      </c>
      <c r="I17" s="3" t="s">
        <v>684</v>
      </c>
      <c r="J17" s="3" t="s">
        <v>640</v>
      </c>
    </row>
    <row r="18" spans="2:10" x14ac:dyDescent="0.3">
      <c r="B18" s="39" t="s">
        <v>686</v>
      </c>
      <c r="C18" s="33">
        <v>0.76</v>
      </c>
      <c r="D18" s="4" t="str">
        <f t="shared" ref="D18:D24" si="0">IF(OR(C18&lt;40%,C18="A"),"fail","pass")</f>
        <v>pass</v>
      </c>
      <c r="H18" s="39" t="s">
        <v>685</v>
      </c>
      <c r="I18" s="33">
        <v>0.45</v>
      </c>
      <c r="J18" s="4" t="str">
        <f>IF(OR(I18&lt;40%,I18="A"),"fail","pass")</f>
        <v>pass</v>
      </c>
    </row>
    <row r="19" spans="2:10" x14ac:dyDescent="0.3">
      <c r="B19" s="39" t="s">
        <v>687</v>
      </c>
      <c r="C19" s="33">
        <v>0.56000000000000005</v>
      </c>
      <c r="D19" s="4" t="str">
        <f t="shared" si="0"/>
        <v>pass</v>
      </c>
      <c r="H19" s="39" t="s">
        <v>686</v>
      </c>
      <c r="I19" s="33">
        <v>0.76</v>
      </c>
      <c r="J19" s="4" t="str">
        <f t="shared" ref="J19:J25" si="1">IF(OR(I19&lt;40%,I19="A"),"fail","pass")</f>
        <v>pass</v>
      </c>
    </row>
    <row r="20" spans="2:10" x14ac:dyDescent="0.3">
      <c r="B20" s="39" t="s">
        <v>688</v>
      </c>
      <c r="C20" s="4" t="s">
        <v>207</v>
      </c>
      <c r="D20" s="4" t="str">
        <f t="shared" si="0"/>
        <v>fail</v>
      </c>
      <c r="H20" s="39" t="s">
        <v>687</v>
      </c>
      <c r="I20" s="33">
        <v>0.56000000000000005</v>
      </c>
      <c r="J20" s="4" t="str">
        <f t="shared" si="1"/>
        <v>pass</v>
      </c>
    </row>
    <row r="21" spans="2:10" x14ac:dyDescent="0.3">
      <c r="B21" s="39" t="s">
        <v>689</v>
      </c>
      <c r="C21" s="33">
        <v>0.77</v>
      </c>
      <c r="D21" s="4" t="str">
        <f t="shared" si="0"/>
        <v>pass</v>
      </c>
      <c r="H21" s="39" t="s">
        <v>688</v>
      </c>
      <c r="I21" s="4" t="s">
        <v>207</v>
      </c>
      <c r="J21" s="4" t="str">
        <f t="shared" si="1"/>
        <v>fail</v>
      </c>
    </row>
    <row r="22" spans="2:10" x14ac:dyDescent="0.3">
      <c r="B22" s="39" t="s">
        <v>688</v>
      </c>
      <c r="C22" s="4" t="s">
        <v>207</v>
      </c>
      <c r="D22" s="4" t="str">
        <f t="shared" si="0"/>
        <v>fail</v>
      </c>
      <c r="H22" s="39" t="s">
        <v>689</v>
      </c>
      <c r="I22" s="33">
        <v>0.77</v>
      </c>
      <c r="J22" s="4" t="str">
        <f t="shared" si="1"/>
        <v>pass</v>
      </c>
    </row>
    <row r="23" spans="2:10" x14ac:dyDescent="0.3">
      <c r="B23" s="39" t="s">
        <v>690</v>
      </c>
      <c r="C23" s="33">
        <v>0.98</v>
      </c>
      <c r="D23" s="4" t="str">
        <f t="shared" si="0"/>
        <v>pass</v>
      </c>
      <c r="H23" s="39" t="s">
        <v>688</v>
      </c>
      <c r="I23" s="4" t="s">
        <v>207</v>
      </c>
      <c r="J23" s="4" t="str">
        <f t="shared" si="1"/>
        <v>fail</v>
      </c>
    </row>
    <row r="24" spans="2:10" x14ac:dyDescent="0.3">
      <c r="B24" s="39" t="s">
        <v>688</v>
      </c>
      <c r="C24" s="33">
        <v>0.33</v>
      </c>
      <c r="D24" s="4" t="str">
        <f t="shared" si="0"/>
        <v>fail</v>
      </c>
      <c r="H24" s="39" t="s">
        <v>690</v>
      </c>
      <c r="I24" s="33">
        <v>0.98</v>
      </c>
      <c r="J24" s="4" t="str">
        <f t="shared" si="1"/>
        <v>pass</v>
      </c>
    </row>
    <row r="25" spans="2:10" x14ac:dyDescent="0.3">
      <c r="H25" s="39" t="s">
        <v>688</v>
      </c>
      <c r="I25" s="33">
        <v>0.33</v>
      </c>
      <c r="J25" s="4" t="str">
        <f t="shared" si="1"/>
        <v>fail</v>
      </c>
    </row>
    <row r="26" spans="2:10" x14ac:dyDescent="0.3">
      <c r="B26" s="30" t="s">
        <v>691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31"/>
  <sheetViews>
    <sheetView zoomScale="130" zoomScaleNormal="130" workbookViewId="0">
      <pane ySplit="1" topLeftCell="A15" activePane="bottomLeft" state="frozen"/>
      <selection pane="bottomLeft" activeCell="D28" sqref="D28:D31"/>
    </sheetView>
  </sheetViews>
  <sheetFormatPr defaultRowHeight="18.75" x14ac:dyDescent="0.3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35">
      <c r="A1" s="36">
        <v>62</v>
      </c>
      <c r="B1" s="1" t="s">
        <v>692</v>
      </c>
    </row>
    <row r="2" spans="1:8" x14ac:dyDescent="0.3">
      <c r="A2" s="37" t="s">
        <v>2</v>
      </c>
    </row>
    <row r="3" spans="1:8" x14ac:dyDescent="0.3">
      <c r="B3" s="3" t="s">
        <v>638</v>
      </c>
      <c r="C3" s="3" t="s">
        <v>193</v>
      </c>
      <c r="D3" s="3" t="s">
        <v>194</v>
      </c>
      <c r="E3" s="3" t="s">
        <v>195</v>
      </c>
      <c r="F3" s="3" t="s">
        <v>98</v>
      </c>
      <c r="G3" s="3" t="s">
        <v>248</v>
      </c>
      <c r="H3" s="3" t="s">
        <v>693</v>
      </c>
    </row>
    <row r="4" spans="1:8" x14ac:dyDescent="0.3">
      <c r="B4" s="39" t="s">
        <v>694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">
      <c r="B5" s="39" t="s">
        <v>695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">
      <c r="B6" s="39" t="s">
        <v>696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">
      <c r="B7" s="39" t="s">
        <v>697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">
      <c r="B8" s="39" t="s">
        <v>698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">
      <c r="H9" s="38"/>
    </row>
    <row r="10" spans="1:8" x14ac:dyDescent="0.3">
      <c r="B10" s="30" t="s">
        <v>699</v>
      </c>
    </row>
    <row r="11" spans="1:8" x14ac:dyDescent="0.3">
      <c r="B11" s="30" t="s">
        <v>700</v>
      </c>
      <c r="F11">
        <v>3</v>
      </c>
      <c r="G11" t="str">
        <f t="array" ref="G11">_xlfn.IFS(F11=1,"one",F11=2,"two",F11=3,"three")</f>
        <v>three</v>
      </c>
    </row>
    <row r="12" spans="1:8" x14ac:dyDescent="0.3">
      <c r="B12" s="30" t="s">
        <v>701</v>
      </c>
    </row>
    <row r="13" spans="1:8" x14ac:dyDescent="0.3">
      <c r="B13" s="30" t="s">
        <v>702</v>
      </c>
    </row>
    <row r="14" spans="1:8" x14ac:dyDescent="0.3">
      <c r="B14" s="30" t="s">
        <v>703</v>
      </c>
    </row>
    <row r="15" spans="1:8" x14ac:dyDescent="0.3">
      <c r="A15" s="37" t="s">
        <v>2</v>
      </c>
    </row>
    <row r="16" spans="1:8" x14ac:dyDescent="0.3">
      <c r="B16" s="40" t="s">
        <v>704</v>
      </c>
      <c r="C16" s="40" t="s">
        <v>705</v>
      </c>
      <c r="D16" s="3" t="s">
        <v>674</v>
      </c>
    </row>
    <row r="17" spans="2:4" x14ac:dyDescent="0.3">
      <c r="B17" s="39" t="s">
        <v>706</v>
      </c>
      <c r="C17" s="39">
        <v>120</v>
      </c>
      <c r="D17" s="4" t="str">
        <f t="array" ref="D17">_xlfn.IFS(C17&gt;=80,"fast",C17&gt;=50,"normal",C17&lt;50,"slow")</f>
        <v>fast</v>
      </c>
    </row>
    <row r="18" spans="2:4" x14ac:dyDescent="0.3">
      <c r="B18" s="39" t="s">
        <v>707</v>
      </c>
      <c r="C18" s="39">
        <v>85</v>
      </c>
      <c r="D18" s="4" t="str">
        <f t="array" ref="D18">_xlfn.IFS(C18&gt;=80,"fast",C18&gt;=50,"normal",C18&lt;50,"slow")</f>
        <v>fast</v>
      </c>
    </row>
    <row r="19" spans="2:4" x14ac:dyDescent="0.3">
      <c r="B19" s="39" t="s">
        <v>708</v>
      </c>
      <c r="C19" s="39">
        <v>66</v>
      </c>
      <c r="D19" s="4" t="str">
        <f t="array" ref="D19">_xlfn.IFS(C19&gt;=80,"fast",C19&gt;=50,"normal",C19&lt;50,"slow")</f>
        <v>normal</v>
      </c>
    </row>
    <row r="20" spans="2:4" x14ac:dyDescent="0.3">
      <c r="B20" s="39" t="s">
        <v>709</v>
      </c>
      <c r="C20" s="39">
        <v>95</v>
      </c>
      <c r="D20" s="4" t="str">
        <f t="array" ref="D20">_xlfn.IFS(C20&gt;=80,"fast",C20&gt;=50,"normal",C20&lt;50,"slow")</f>
        <v>fast</v>
      </c>
    </row>
    <row r="21" spans="2:4" x14ac:dyDescent="0.3">
      <c r="B21" s="39" t="s">
        <v>710</v>
      </c>
      <c r="C21" s="39">
        <v>35</v>
      </c>
      <c r="D21" s="4" t="str">
        <f t="array" ref="D21">_xlfn.IFS(C21&gt;=80,"fast",C21&gt;=50,"normal",C21&lt;50,"slow")</f>
        <v>slow</v>
      </c>
    </row>
    <row r="23" spans="2:4" x14ac:dyDescent="0.3">
      <c r="B23" s="30" t="s">
        <v>711</v>
      </c>
    </row>
    <row r="24" spans="2:4" x14ac:dyDescent="0.3">
      <c r="B24" s="30" t="s">
        <v>712</v>
      </c>
    </row>
    <row r="25" spans="2:4" x14ac:dyDescent="0.3">
      <c r="B25" s="30" t="s">
        <v>713</v>
      </c>
    </row>
    <row r="27" spans="2:4" x14ac:dyDescent="0.3">
      <c r="B27" s="40" t="s">
        <v>704</v>
      </c>
      <c r="C27" s="40" t="s">
        <v>705</v>
      </c>
      <c r="D27" t="s">
        <v>1012</v>
      </c>
    </row>
    <row r="28" spans="2:4" x14ac:dyDescent="0.3">
      <c r="B28" s="39" t="s">
        <v>706</v>
      </c>
      <c r="C28" s="39">
        <v>120</v>
      </c>
      <c r="D28" t="str" cm="1">
        <f t="array" ref="D28">_xlfn.IFS(C28&gt;=80,"fast",C28&gt;=50,"normal",C28&lt;50,"slow")</f>
        <v>fast</v>
      </c>
    </row>
    <row r="29" spans="2:4" x14ac:dyDescent="0.3">
      <c r="B29" s="39" t="s">
        <v>707</v>
      </c>
      <c r="C29" s="39">
        <v>85</v>
      </c>
      <c r="D29" t="str" cm="1">
        <f t="array" ref="D29">_xlfn.IFS(C29&gt;=80,"fast",C29&gt;=50,"normal",C29&lt;50,"slow")</f>
        <v>fast</v>
      </c>
    </row>
    <row r="30" spans="2:4" x14ac:dyDescent="0.3">
      <c r="B30" s="39" t="s">
        <v>708</v>
      </c>
      <c r="C30" s="39">
        <v>66</v>
      </c>
      <c r="D30" t="str" cm="1">
        <f t="array" ref="D30">_xlfn.IFS(C30&gt;=80,"fast",C30&gt;=50,"normal",C30&lt;50,"slow")</f>
        <v>normal</v>
      </c>
    </row>
    <row r="31" spans="2:4" x14ac:dyDescent="0.3">
      <c r="B31" s="39" t="s">
        <v>709</v>
      </c>
      <c r="C31" s="39">
        <v>95</v>
      </c>
      <c r="D31" t="str" cm="1">
        <f t="array" ref="D31">_xlfn.IFS(C31&gt;=80,"fast",C31&gt;=50,"normal",C31&lt;50,"slow")</f>
        <v>fast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31"/>
  <sheetViews>
    <sheetView zoomScale="108" zoomScaleNormal="130" workbookViewId="0">
      <pane ySplit="1" topLeftCell="A2" activePane="bottomLeft" state="frozen"/>
      <selection pane="bottomLeft" activeCell="J12" sqref="J12"/>
    </sheetView>
  </sheetViews>
  <sheetFormatPr defaultRowHeight="18.75" x14ac:dyDescent="0.3"/>
  <cols>
    <col min="2" max="2" width="9" customWidth="1"/>
    <col min="3" max="3" width="11.29687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9921875" customWidth="1"/>
    <col min="10" max="10" width="12.59765625" customWidth="1"/>
    <col min="11" max="11" width="13.09765625" bestFit="1" customWidth="1"/>
  </cols>
  <sheetData>
    <row r="1" spans="1:10" s="2" customFormat="1" ht="32.65" customHeight="1" thickBot="1" x14ac:dyDescent="0.35">
      <c r="A1" s="36">
        <v>63</v>
      </c>
      <c r="B1" s="1" t="s">
        <v>714</v>
      </c>
    </row>
    <row r="2" spans="1:10" x14ac:dyDescent="0.3">
      <c r="A2" s="37" t="s">
        <v>2</v>
      </c>
    </row>
    <row r="3" spans="1:10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716</v>
      </c>
    </row>
    <row r="4" spans="1:10" x14ac:dyDescent="0.3">
      <c r="B4" s="4">
        <v>100</v>
      </c>
      <c r="C4" s="27" t="s">
        <v>651</v>
      </c>
      <c r="D4" s="4">
        <v>45000</v>
      </c>
      <c r="E4" s="4" t="s">
        <v>670</v>
      </c>
      <c r="F4" s="27">
        <v>44927</v>
      </c>
      <c r="H4" s="4">
        <v>1222</v>
      </c>
      <c r="I4" s="27" t="str">
        <f>IFERROR(VLOOKUP(H4,B3:F9,5,0),"not found")</f>
        <v>not found</v>
      </c>
    </row>
    <row r="5" spans="1:10" x14ac:dyDescent="0.3">
      <c r="B5" s="4">
        <v>101</v>
      </c>
      <c r="C5" s="27" t="s">
        <v>668</v>
      </c>
      <c r="D5" s="4">
        <v>50000</v>
      </c>
      <c r="E5" s="4" t="s">
        <v>667</v>
      </c>
      <c r="F5" s="27">
        <v>45447</v>
      </c>
    </row>
    <row r="6" spans="1:10" x14ac:dyDescent="0.3">
      <c r="B6" s="4">
        <v>102</v>
      </c>
      <c r="C6" s="27" t="s">
        <v>654</v>
      </c>
      <c r="D6" s="4">
        <v>17000</v>
      </c>
      <c r="E6" s="4" t="s">
        <v>669</v>
      </c>
      <c r="F6" s="27">
        <v>44793</v>
      </c>
      <c r="H6" s="3" t="s">
        <v>715</v>
      </c>
      <c r="I6" s="3" t="s">
        <v>252</v>
      </c>
    </row>
    <row r="7" spans="1:10" x14ac:dyDescent="0.3">
      <c r="B7" s="4">
        <v>103</v>
      </c>
      <c r="C7" s="27" t="s">
        <v>408</v>
      </c>
      <c r="D7" s="4">
        <v>25000</v>
      </c>
      <c r="E7" s="4" t="s">
        <v>670</v>
      </c>
      <c r="F7" s="27">
        <v>43146</v>
      </c>
      <c r="H7" s="4">
        <v>104</v>
      </c>
      <c r="I7" s="4" t="e">
        <f>VLOOKUP(H7,B3:F9,3,0)</f>
        <v>#N/A</v>
      </c>
    </row>
    <row r="8" spans="1:10" x14ac:dyDescent="0.3">
      <c r="B8" s="4">
        <v>102</v>
      </c>
      <c r="C8" s="27" t="s">
        <v>545</v>
      </c>
      <c r="D8" s="4">
        <v>40000</v>
      </c>
      <c r="E8" s="4" t="s">
        <v>371</v>
      </c>
      <c r="F8" s="27">
        <v>44599</v>
      </c>
    </row>
    <row r="9" spans="1:10" x14ac:dyDescent="0.3">
      <c r="B9" s="4">
        <v>105</v>
      </c>
      <c r="C9" s="27" t="s">
        <v>717</v>
      </c>
      <c r="D9" s="4">
        <v>23000</v>
      </c>
      <c r="E9" s="4" t="s">
        <v>371</v>
      </c>
      <c r="F9" s="27">
        <v>44600</v>
      </c>
    </row>
    <row r="10" spans="1:10" x14ac:dyDescent="0.3">
      <c r="B10" s="30"/>
    </row>
    <row r="11" spans="1:10" x14ac:dyDescent="0.3">
      <c r="B11" s="3" t="s">
        <v>715</v>
      </c>
      <c r="C11" s="3" t="s">
        <v>596</v>
      </c>
      <c r="D11" s="3" t="s">
        <v>252</v>
      </c>
      <c r="E11" s="3" t="s">
        <v>664</v>
      </c>
      <c r="F11" s="3" t="s">
        <v>716</v>
      </c>
      <c r="H11" s="3" t="s">
        <v>715</v>
      </c>
      <c r="I11" s="3" t="s">
        <v>252</v>
      </c>
      <c r="J11" s="3" t="s">
        <v>716</v>
      </c>
    </row>
    <row r="12" spans="1:10" x14ac:dyDescent="0.3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7">
        <f>VLOOKUP($B$12,$B$3:$F$9,COLUMNS($B$10:F10),0)</f>
        <v>44793</v>
      </c>
      <c r="H12" s="4">
        <v>101</v>
      </c>
      <c r="I12" s="4">
        <f>VLOOKUP(H12,B3:F9,3,0)</f>
        <v>50000</v>
      </c>
      <c r="J12" s="27">
        <f>VLOOKUP(H12,B3:F9,5,0)</f>
        <v>45447</v>
      </c>
    </row>
    <row r="13" spans="1:10" x14ac:dyDescent="0.3">
      <c r="B13" s="35"/>
      <c r="C13" s="35"/>
      <c r="D13" s="35"/>
      <c r="E13" s="35"/>
      <c r="F13" s="35"/>
    </row>
    <row r="14" spans="1:10" x14ac:dyDescent="0.3">
      <c r="B14" s="30"/>
    </row>
    <row r="15" spans="1:10" x14ac:dyDescent="0.3">
      <c r="B15" s="30"/>
    </row>
    <row r="16" spans="1:10" x14ac:dyDescent="0.3">
      <c r="B16" s="3" t="s">
        <v>718</v>
      </c>
      <c r="C16" s="40" t="s">
        <v>596</v>
      </c>
      <c r="D16" s="3" t="s">
        <v>719</v>
      </c>
      <c r="E16" s="3" t="s">
        <v>720</v>
      </c>
      <c r="F16" s="3" t="s">
        <v>128</v>
      </c>
      <c r="H16" s="3" t="s">
        <v>719</v>
      </c>
      <c r="I16" s="3" t="s">
        <v>128</v>
      </c>
      <c r="J16" s="38"/>
    </row>
    <row r="17" spans="2:9" x14ac:dyDescent="0.3">
      <c r="B17" s="4">
        <v>100</v>
      </c>
      <c r="C17" s="39" t="s">
        <v>721</v>
      </c>
      <c r="D17" s="4" t="s">
        <v>722</v>
      </c>
      <c r="E17" s="4">
        <v>3</v>
      </c>
      <c r="F17" s="4">
        <v>1200</v>
      </c>
      <c r="H17" s="4" t="s">
        <v>723</v>
      </c>
      <c r="I17" s="4">
        <f>VLOOKUP(H17,D16:F22,3,0)</f>
        <v>6500</v>
      </c>
    </row>
    <row r="18" spans="2:9" x14ac:dyDescent="0.3">
      <c r="B18" s="4">
        <v>101</v>
      </c>
      <c r="C18" s="39" t="s">
        <v>724</v>
      </c>
      <c r="D18" s="4" t="s">
        <v>725</v>
      </c>
      <c r="E18" s="4">
        <v>5</v>
      </c>
      <c r="F18" s="4">
        <v>5000</v>
      </c>
    </row>
    <row r="19" spans="2:9" x14ac:dyDescent="0.3">
      <c r="B19" s="4">
        <v>102</v>
      </c>
      <c r="C19" s="39" t="s">
        <v>726</v>
      </c>
      <c r="D19" s="4" t="s">
        <v>727</v>
      </c>
      <c r="E19" s="4">
        <v>6</v>
      </c>
      <c r="F19" s="4">
        <v>230</v>
      </c>
      <c r="H19" s="3" t="s">
        <v>719</v>
      </c>
      <c r="I19" s="3" t="s">
        <v>596</v>
      </c>
    </row>
    <row r="20" spans="2:9" x14ac:dyDescent="0.3">
      <c r="B20" s="4">
        <v>103</v>
      </c>
      <c r="C20" s="39" t="s">
        <v>728</v>
      </c>
      <c r="D20" s="4" t="s">
        <v>723</v>
      </c>
      <c r="E20" s="4">
        <v>7</v>
      </c>
      <c r="F20" s="4">
        <v>6500</v>
      </c>
      <c r="H20" s="4" t="s">
        <v>723</v>
      </c>
      <c r="I20" s="4" t="str">
        <f>VLOOKUP(H20,CHOOSE({1,2},D16:D22,C16:C22),2,0)</f>
        <v>Alarm Clock</v>
      </c>
    </row>
    <row r="21" spans="2:9" x14ac:dyDescent="0.3">
      <c r="B21" s="4">
        <v>104</v>
      </c>
      <c r="C21" s="39" t="s">
        <v>729</v>
      </c>
      <c r="D21" s="4" t="s">
        <v>730</v>
      </c>
      <c r="E21" s="4">
        <v>4</v>
      </c>
      <c r="F21" s="4">
        <v>45000</v>
      </c>
    </row>
    <row r="22" spans="2:9" x14ac:dyDescent="0.3">
      <c r="B22" s="4">
        <v>105</v>
      </c>
      <c r="C22" s="39" t="s">
        <v>731</v>
      </c>
      <c r="D22" s="4" t="s">
        <v>732</v>
      </c>
      <c r="E22" s="4">
        <v>5</v>
      </c>
      <c r="F22" s="4">
        <v>3000</v>
      </c>
    </row>
    <row r="23" spans="2:9" x14ac:dyDescent="0.3">
      <c r="B23" s="30"/>
    </row>
    <row r="25" spans="2:9" x14ac:dyDescent="0.3">
      <c r="D25" t="str" cm="1">
        <f t="array" ref="D25:E31">CHOOSE({1,2},D16:D22,C16:C22)</f>
        <v>HSN Code</v>
      </c>
      <c r="E25" t="str">
        <v>Name</v>
      </c>
    </row>
    <row r="26" spans="2:9" x14ac:dyDescent="0.3">
      <c r="D26" t="str">
        <v>P001</v>
      </c>
      <c r="E26" t="str">
        <v>Bedsheet</v>
      </c>
    </row>
    <row r="27" spans="2:9" x14ac:dyDescent="0.3">
      <c r="D27" t="str">
        <v>P004</v>
      </c>
      <c r="E27" t="str">
        <v>Pillow</v>
      </c>
    </row>
    <row r="28" spans="2:9" x14ac:dyDescent="0.3">
      <c r="D28" t="str">
        <v>P002</v>
      </c>
      <c r="E28" t="str">
        <v>Blanket</v>
      </c>
    </row>
    <row r="29" spans="2:9" x14ac:dyDescent="0.3">
      <c r="D29" t="str">
        <v>P003</v>
      </c>
      <c r="E29" t="str">
        <v>Alarm Clock</v>
      </c>
    </row>
    <row r="30" spans="2:9" x14ac:dyDescent="0.3">
      <c r="D30" t="str">
        <v>P005</v>
      </c>
      <c r="E30" t="str">
        <v>Mattress</v>
      </c>
    </row>
    <row r="31" spans="2:9" x14ac:dyDescent="0.3">
      <c r="D31" t="str">
        <v>P006</v>
      </c>
      <c r="E31" t="str">
        <v>Table Lamp</v>
      </c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 activeCell="F13" sqref="F13"/>
    </sheetView>
  </sheetViews>
  <sheetFormatPr defaultRowHeight="18.75" x14ac:dyDescent="0.3"/>
  <cols>
    <col min="2" max="2" width="13.296875" customWidth="1"/>
    <col min="3" max="3" width="7.59765625" customWidth="1"/>
    <col min="4" max="4" width="11.796875" bestFit="1" customWidth="1"/>
    <col min="5" max="5" width="11.5" bestFit="1" customWidth="1"/>
    <col min="6" max="6" width="15.898437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9765625" customWidth="1"/>
    <col min="11" max="11" width="15.296875" bestFit="1" customWidth="1"/>
  </cols>
  <sheetData>
    <row r="1" spans="1:11" s="2" customFormat="1" ht="32.65" customHeight="1" thickBot="1" x14ac:dyDescent="0.35">
      <c r="A1" s="36">
        <v>64</v>
      </c>
      <c r="B1" s="1" t="s">
        <v>733</v>
      </c>
    </row>
    <row r="2" spans="1:11" x14ac:dyDescent="0.3">
      <c r="A2" s="37" t="s">
        <v>2</v>
      </c>
    </row>
    <row r="3" spans="1:11" x14ac:dyDescent="0.3">
      <c r="B3" s="12" t="s">
        <v>718</v>
      </c>
      <c r="C3" s="34">
        <v>100</v>
      </c>
      <c r="D3" s="34">
        <v>101</v>
      </c>
      <c r="E3" s="34">
        <v>102</v>
      </c>
      <c r="F3" s="34">
        <v>103</v>
      </c>
      <c r="G3" s="34">
        <v>104</v>
      </c>
      <c r="H3" s="34">
        <v>105</v>
      </c>
    </row>
    <row r="4" spans="1:11" x14ac:dyDescent="0.3">
      <c r="B4" s="12" t="s">
        <v>596</v>
      </c>
      <c r="C4" s="59" t="s">
        <v>734</v>
      </c>
      <c r="D4" s="39" t="s">
        <v>735</v>
      </c>
      <c r="E4" s="39" t="s">
        <v>736</v>
      </c>
      <c r="F4" s="39" t="s">
        <v>737</v>
      </c>
      <c r="G4" s="39" t="s">
        <v>738</v>
      </c>
      <c r="H4" s="39" t="s">
        <v>739</v>
      </c>
      <c r="K4" s="38"/>
    </row>
    <row r="5" spans="1:11" x14ac:dyDescent="0.3">
      <c r="B5" s="12" t="s">
        <v>719</v>
      </c>
      <c r="C5" s="34" t="s">
        <v>722</v>
      </c>
      <c r="D5" s="34" t="s">
        <v>725</v>
      </c>
      <c r="E5" s="34" t="s">
        <v>727</v>
      </c>
      <c r="F5" s="34" t="s">
        <v>723</v>
      </c>
      <c r="G5" s="34" t="s">
        <v>730</v>
      </c>
      <c r="H5" s="34" t="s">
        <v>732</v>
      </c>
    </row>
    <row r="6" spans="1:11" x14ac:dyDescent="0.3">
      <c r="B6" s="12" t="s">
        <v>720</v>
      </c>
      <c r="C6" s="34">
        <v>3</v>
      </c>
      <c r="D6" s="34">
        <v>5</v>
      </c>
      <c r="E6" s="34">
        <v>6</v>
      </c>
      <c r="F6" s="34">
        <v>7</v>
      </c>
      <c r="G6" s="34">
        <v>4</v>
      </c>
      <c r="H6" s="34">
        <v>5</v>
      </c>
    </row>
    <row r="7" spans="1:11" x14ac:dyDescent="0.3">
      <c r="B7" s="12" t="s">
        <v>128</v>
      </c>
      <c r="C7" s="34">
        <v>1200</v>
      </c>
      <c r="D7" s="34">
        <v>5000</v>
      </c>
      <c r="E7" s="34">
        <v>230</v>
      </c>
      <c r="F7" s="34">
        <v>6500</v>
      </c>
      <c r="G7" s="34">
        <v>45000</v>
      </c>
      <c r="H7" s="34">
        <v>3000</v>
      </c>
    </row>
    <row r="9" spans="1:11" x14ac:dyDescent="0.3">
      <c r="B9" s="12" t="s">
        <v>718</v>
      </c>
      <c r="C9" s="22">
        <v>104</v>
      </c>
      <c r="E9" s="12" t="s">
        <v>718</v>
      </c>
      <c r="F9" s="22">
        <v>102</v>
      </c>
      <c r="I9" s="12" t="s">
        <v>719</v>
      </c>
      <c r="J9" s="34" t="s">
        <v>725</v>
      </c>
    </row>
    <row r="10" spans="1:11" x14ac:dyDescent="0.3">
      <c r="B10" s="12" t="s">
        <v>128</v>
      </c>
      <c r="C10" s="4">
        <f>HLOOKUP(C9,B3:H7,5,0)</f>
        <v>45000</v>
      </c>
      <c r="E10" s="12" t="s">
        <v>596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3">
      <c r="E11" s="12" t="s">
        <v>719</v>
      </c>
      <c r="F11" s="4" t="str">
        <f>HLOOKUP($F$9,$B$3:$H$7,ROWS($D$9:D11),0)</f>
        <v>P002</v>
      </c>
    </row>
    <row r="12" spans="1:11" x14ac:dyDescent="0.3">
      <c r="B12" s="12" t="s">
        <v>718</v>
      </c>
      <c r="C12" s="22">
        <v>104</v>
      </c>
      <c r="E12" s="12" t="s">
        <v>720</v>
      </c>
      <c r="F12" s="4">
        <f>HLOOKUP($F$9,$B$3:$H$7,ROWS($D$9:D12),0)</f>
        <v>6</v>
      </c>
    </row>
    <row r="13" spans="1:11" x14ac:dyDescent="0.3">
      <c r="B13" s="12" t="s">
        <v>719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I10" sqref="I10"/>
    </sheetView>
  </sheetViews>
  <sheetFormatPr defaultRowHeight="18.75" x14ac:dyDescent="0.3"/>
  <cols>
    <col min="2" max="2" width="9" customWidth="1"/>
    <col min="3" max="3" width="14.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65</v>
      </c>
      <c r="B1" s="1" t="s">
        <v>740</v>
      </c>
    </row>
    <row r="2" spans="1:9" x14ac:dyDescent="0.3">
      <c r="A2" s="37" t="s">
        <v>2</v>
      </c>
    </row>
    <row r="3" spans="1:9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>
        <v>104</v>
      </c>
      <c r="I4" s="4">
        <f>MATCH(H4,B4:B9,0)</f>
        <v>5</v>
      </c>
    </row>
    <row r="5" spans="1:9" x14ac:dyDescent="0.3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  <c r="H5" s="49"/>
    </row>
    <row r="6" spans="1:9" x14ac:dyDescent="0.3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  <c r="H6" s="50" t="s">
        <v>1013</v>
      </c>
      <c r="I6" t="s">
        <v>1014</v>
      </c>
    </row>
    <row r="7" spans="1:9" x14ac:dyDescent="0.3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  <c r="H7" s="50">
        <v>101</v>
      </c>
      <c r="I7">
        <f>MATCH(H7,B4:B9,(0))</f>
        <v>2</v>
      </c>
    </row>
    <row r="8" spans="1:9" x14ac:dyDescent="0.3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  <c r="H8" s="50"/>
    </row>
    <row r="9" spans="1:9" x14ac:dyDescent="0.3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  <c r="H9" s="50" t="s">
        <v>1013</v>
      </c>
      <c r="I9" t="s">
        <v>1017</v>
      </c>
    </row>
    <row r="10" spans="1:9" x14ac:dyDescent="0.3">
      <c r="B10" s="30"/>
      <c r="H10" s="50">
        <v>105</v>
      </c>
      <c r="I10">
        <f>MATCH(H10,B3:B9,0)</f>
        <v>7</v>
      </c>
    </row>
    <row r="11" spans="1:9" x14ac:dyDescent="0.3">
      <c r="H11" s="50"/>
    </row>
    <row r="12" spans="1:9" x14ac:dyDescent="0.3">
      <c r="B12" t="s">
        <v>748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 activeCell="I7" sqref="I7"/>
    </sheetView>
  </sheetViews>
  <sheetFormatPr defaultRowHeight="18.75" x14ac:dyDescent="0.3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66</v>
      </c>
      <c r="B1" s="1" t="s">
        <v>749</v>
      </c>
    </row>
    <row r="2" spans="1:9" x14ac:dyDescent="0.3">
      <c r="A2" s="37" t="s">
        <v>2</v>
      </c>
    </row>
    <row r="3" spans="1:9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/>
      <c r="I4" s="4" cm="1">
        <f t="array" ref="I4:I9">INDEX(B4:B9,H4)</f>
        <v>100</v>
      </c>
    </row>
    <row r="5" spans="1:9" x14ac:dyDescent="0.3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  <c r="H5" cm="1">
        <f t="array" ref="H5:H10">INDEX(B4:B9,H4)</f>
        <v>100</v>
      </c>
      <c r="I5">
        <v>101</v>
      </c>
    </row>
    <row r="6" spans="1:9" x14ac:dyDescent="0.3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  <c r="H6">
        <v>101</v>
      </c>
      <c r="I6">
        <v>102</v>
      </c>
    </row>
    <row r="7" spans="1:9" x14ac:dyDescent="0.3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  <c r="H7">
        <v>102</v>
      </c>
      <c r="I7">
        <v>103</v>
      </c>
    </row>
    <row r="8" spans="1:9" x14ac:dyDescent="0.3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  <c r="H8">
        <v>103</v>
      </c>
      <c r="I8">
        <v>104</v>
      </c>
    </row>
    <row r="9" spans="1:9" x14ac:dyDescent="0.3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  <c r="H9">
        <v>104</v>
      </c>
      <c r="I9">
        <v>105</v>
      </c>
    </row>
    <row r="10" spans="1:9" x14ac:dyDescent="0.3">
      <c r="B10" s="30"/>
      <c r="H10">
        <v>105</v>
      </c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 activeCell="C12" sqref="C12"/>
    </sheetView>
  </sheetViews>
  <sheetFormatPr defaultRowHeight="18.75" x14ac:dyDescent="0.3"/>
  <cols>
    <col min="2" max="2" width="10.29687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67</v>
      </c>
      <c r="B1" s="1" t="s">
        <v>750</v>
      </c>
    </row>
    <row r="2" spans="1:9" ht="16.5" customHeight="1" x14ac:dyDescent="0.3">
      <c r="A2" s="37" t="s">
        <v>2</v>
      </c>
    </row>
    <row r="3" spans="1:9" x14ac:dyDescent="0.3">
      <c r="B3" s="3" t="s">
        <v>718</v>
      </c>
      <c r="C3" s="3" t="s">
        <v>596</v>
      </c>
      <c r="D3" s="3" t="s">
        <v>719</v>
      </c>
      <c r="E3" s="3" t="s">
        <v>720</v>
      </c>
      <c r="F3" s="3" t="s">
        <v>128</v>
      </c>
      <c r="H3" s="3" t="s">
        <v>718</v>
      </c>
      <c r="I3" s="3" t="s">
        <v>128</v>
      </c>
    </row>
    <row r="4" spans="1:9" x14ac:dyDescent="0.3">
      <c r="B4" s="4">
        <v>100</v>
      </c>
      <c r="C4" s="51" t="s">
        <v>751</v>
      </c>
      <c r="D4" s="4" t="s">
        <v>722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">
      <c r="B5" s="4">
        <v>101</v>
      </c>
      <c r="C5" s="51" t="s">
        <v>752</v>
      </c>
      <c r="D5" s="4" t="s">
        <v>725</v>
      </c>
      <c r="E5" s="4">
        <v>5</v>
      </c>
      <c r="F5" s="4">
        <v>5000</v>
      </c>
    </row>
    <row r="6" spans="1:9" x14ac:dyDescent="0.3">
      <c r="B6" s="4">
        <v>102</v>
      </c>
      <c r="C6" s="51" t="s">
        <v>753</v>
      </c>
      <c r="D6" s="4" t="s">
        <v>727</v>
      </c>
      <c r="E6" s="4">
        <v>6</v>
      </c>
      <c r="F6" s="4">
        <v>230</v>
      </c>
      <c r="H6" s="3" t="s">
        <v>719</v>
      </c>
      <c r="I6" s="3" t="s">
        <v>718</v>
      </c>
    </row>
    <row r="7" spans="1:9" x14ac:dyDescent="0.3">
      <c r="B7" s="4">
        <v>103</v>
      </c>
      <c r="C7" s="51" t="s">
        <v>754</v>
      </c>
      <c r="D7" s="4" t="s">
        <v>723</v>
      </c>
      <c r="E7" s="4">
        <v>7</v>
      </c>
      <c r="F7" s="4">
        <v>6500</v>
      </c>
      <c r="H7" s="4" t="s">
        <v>727</v>
      </c>
      <c r="I7">
        <f>INDEX(B3:F9,MATCH(H7,D3:D9,0),1)</f>
        <v>102</v>
      </c>
    </row>
    <row r="8" spans="1:9" x14ac:dyDescent="0.3">
      <c r="B8" s="4">
        <v>104</v>
      </c>
      <c r="C8" s="51" t="s">
        <v>755</v>
      </c>
      <c r="D8" s="4" t="s">
        <v>730</v>
      </c>
      <c r="E8" s="4">
        <v>4</v>
      </c>
      <c r="F8" s="4">
        <v>45000</v>
      </c>
    </row>
    <row r="9" spans="1:9" x14ac:dyDescent="0.3">
      <c r="B9" s="4">
        <v>105</v>
      </c>
      <c r="C9" s="51" t="s">
        <v>756</v>
      </c>
      <c r="D9" s="4" t="s">
        <v>732</v>
      </c>
      <c r="E9" s="4">
        <v>5</v>
      </c>
      <c r="F9" s="4">
        <v>3000</v>
      </c>
    </row>
    <row r="10" spans="1:9" ht="7.5" customHeight="1" x14ac:dyDescent="0.3">
      <c r="B10" s="30"/>
    </row>
    <row r="11" spans="1:9" x14ac:dyDescent="0.3">
      <c r="B11" s="3" t="s">
        <v>718</v>
      </c>
      <c r="C11" s="159" t="s">
        <v>1015</v>
      </c>
    </row>
    <row r="12" spans="1:9" x14ac:dyDescent="0.3">
      <c r="B12" s="4">
        <v>103</v>
      </c>
      <c r="C12">
        <f>INDEX(F3:F9,MATCH(B12,B3:B9))</f>
        <v>6500</v>
      </c>
    </row>
    <row r="13" spans="1:9" ht="9" customHeight="1" x14ac:dyDescent="0.3"/>
    <row r="14" spans="1:9" x14ac:dyDescent="0.3">
      <c r="B14" s="3" t="s">
        <v>715</v>
      </c>
      <c r="C14" s="3" t="s">
        <v>596</v>
      </c>
      <c r="D14" s="3" t="s">
        <v>252</v>
      </c>
      <c r="E14" s="3" t="s">
        <v>664</v>
      </c>
      <c r="F14" s="3" t="s">
        <v>716</v>
      </c>
    </row>
    <row r="15" spans="1:9" x14ac:dyDescent="0.3">
      <c r="B15" s="4">
        <f t="array" ref="B15:F15">INDEX(B3:F9,MATCH(B12,B3:B9,0),)</f>
        <v>103</v>
      </c>
      <c r="C15" s="27" t="str">
        <v>Graphics Card</v>
      </c>
      <c r="D15" s="4" t="str">
        <v>P003</v>
      </c>
      <c r="E15" s="4">
        <v>7</v>
      </c>
      <c r="F15" s="4">
        <v>6500</v>
      </c>
    </row>
  </sheetData>
  <dataValidations disablePrompts="1"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9" activePane="bottomLeft" state="frozen"/>
      <selection pane="bottomLeft" activeCell="C12" sqref="C12"/>
    </sheetView>
  </sheetViews>
  <sheetFormatPr defaultRowHeight="18.75" x14ac:dyDescent="0.3"/>
  <cols>
    <col min="2" max="2" width="10.296875" customWidth="1"/>
    <col min="3" max="3" width="13.29687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35">
      <c r="A1" s="36">
        <v>68</v>
      </c>
      <c r="B1" s="1" t="s">
        <v>757</v>
      </c>
    </row>
    <row r="2" spans="1:9" ht="16.5" customHeight="1" x14ac:dyDescent="0.3">
      <c r="A2" s="37" t="s">
        <v>2</v>
      </c>
    </row>
    <row r="3" spans="1:9" x14ac:dyDescent="0.3">
      <c r="B3" s="3" t="s">
        <v>718</v>
      </c>
      <c r="C3" s="42" t="s">
        <v>596</v>
      </c>
      <c r="D3" s="3" t="s">
        <v>719</v>
      </c>
      <c r="E3" s="3" t="s">
        <v>720</v>
      </c>
      <c r="F3" s="3" t="s">
        <v>128</v>
      </c>
      <c r="H3" s="3" t="s">
        <v>719</v>
      </c>
      <c r="I3" s="3" t="s">
        <v>718</v>
      </c>
    </row>
    <row r="4" spans="1:9" x14ac:dyDescent="0.3">
      <c r="B4" s="21">
        <v>100</v>
      </c>
      <c r="C4" s="39" t="s">
        <v>751</v>
      </c>
      <c r="D4" s="43" t="s">
        <v>722</v>
      </c>
      <c r="E4" s="4">
        <v>3</v>
      </c>
      <c r="F4" s="4">
        <v>1200</v>
      </c>
      <c r="H4" s="4" t="s">
        <v>727</v>
      </c>
      <c r="I4" s="4">
        <f>_xlfn.XLOOKUP(H4,D3:D9,B3:B9)</f>
        <v>102</v>
      </c>
    </row>
    <row r="5" spans="1:9" x14ac:dyDescent="0.3">
      <c r="B5" s="21">
        <v>101</v>
      </c>
      <c r="C5" s="39" t="s">
        <v>758</v>
      </c>
      <c r="D5" s="43" t="s">
        <v>725</v>
      </c>
      <c r="E5" s="4">
        <v>5</v>
      </c>
      <c r="F5" s="4">
        <v>5000</v>
      </c>
      <c r="H5" t="s">
        <v>732</v>
      </c>
      <c r="I5">
        <f>_xlfn.XLOOKUP(H5,D3:D9,B3:B9)</f>
        <v>105</v>
      </c>
    </row>
    <row r="6" spans="1:9" x14ac:dyDescent="0.3">
      <c r="B6" s="21">
        <v>102</v>
      </c>
      <c r="C6" s="39" t="s">
        <v>753</v>
      </c>
      <c r="D6" s="43" t="s">
        <v>727</v>
      </c>
      <c r="E6" s="4">
        <v>6</v>
      </c>
      <c r="F6" s="4">
        <v>230</v>
      </c>
    </row>
    <row r="7" spans="1:9" x14ac:dyDescent="0.3">
      <c r="B7" s="21">
        <v>103</v>
      </c>
      <c r="C7" s="39" t="s">
        <v>754</v>
      </c>
      <c r="D7" s="43" t="s">
        <v>723</v>
      </c>
      <c r="E7" s="4">
        <v>7</v>
      </c>
      <c r="F7" s="4">
        <v>6500</v>
      </c>
    </row>
    <row r="8" spans="1:9" x14ac:dyDescent="0.3">
      <c r="B8" s="21">
        <v>102</v>
      </c>
      <c r="C8" s="39" t="s">
        <v>755</v>
      </c>
      <c r="D8" s="43" t="s">
        <v>730</v>
      </c>
      <c r="E8" s="4">
        <v>4</v>
      </c>
      <c r="F8" s="4">
        <v>45000</v>
      </c>
    </row>
    <row r="9" spans="1:9" x14ac:dyDescent="0.3">
      <c r="B9" s="21">
        <v>105</v>
      </c>
      <c r="C9" s="39" t="s">
        <v>756</v>
      </c>
      <c r="D9" s="43" t="s">
        <v>732</v>
      </c>
      <c r="E9" s="4">
        <v>5</v>
      </c>
      <c r="F9" s="4">
        <v>3000</v>
      </c>
    </row>
    <row r="10" spans="1:9" ht="16.5" customHeight="1" x14ac:dyDescent="0.3">
      <c r="B10" s="30"/>
    </row>
    <row r="11" spans="1:9" x14ac:dyDescent="0.3">
      <c r="B11" s="3" t="s">
        <v>718</v>
      </c>
      <c r="C11" s="3" t="s">
        <v>128</v>
      </c>
    </row>
    <row r="12" spans="1:9" x14ac:dyDescent="0.3">
      <c r="B12" s="4">
        <v>102</v>
      </c>
      <c r="C12" s="4">
        <f>_xlfn.XLOOKUP(B12,B3:B9,F3:F9,"not found",0,-1)</f>
        <v>45000</v>
      </c>
    </row>
    <row r="17" spans="2:8" x14ac:dyDescent="0.3">
      <c r="B17" s="3" t="s">
        <v>718</v>
      </c>
      <c r="C17" s="3" t="s">
        <v>596</v>
      </c>
      <c r="D17" s="3" t="s">
        <v>719</v>
      </c>
      <c r="E17" s="3" t="s">
        <v>720</v>
      </c>
      <c r="F17" s="3" t="s">
        <v>128</v>
      </c>
    </row>
    <row r="18" spans="2:8" x14ac:dyDescent="0.3">
      <c r="B18" s="4">
        <v>100</v>
      </c>
      <c r="C18" s="4" t="s">
        <v>759</v>
      </c>
      <c r="D18" s="4" t="s">
        <v>722</v>
      </c>
      <c r="E18" s="4">
        <v>3</v>
      </c>
      <c r="F18" s="4">
        <v>1200</v>
      </c>
    </row>
    <row r="19" spans="2:8" x14ac:dyDescent="0.3">
      <c r="B19" s="4">
        <v>101</v>
      </c>
      <c r="C19" s="4" t="s">
        <v>760</v>
      </c>
      <c r="D19" s="4" t="s">
        <v>725</v>
      </c>
      <c r="E19" s="4">
        <v>5</v>
      </c>
      <c r="F19" s="4">
        <v>5000</v>
      </c>
    </row>
    <row r="20" spans="2:8" x14ac:dyDescent="0.3">
      <c r="B20" s="4">
        <v>102</v>
      </c>
      <c r="C20" s="4" t="s">
        <v>99</v>
      </c>
      <c r="D20" s="4" t="s">
        <v>727</v>
      </c>
      <c r="E20" s="4">
        <v>6</v>
      </c>
      <c r="F20" s="4">
        <v>230</v>
      </c>
    </row>
    <row r="21" spans="2:8" x14ac:dyDescent="0.3">
      <c r="B21" s="4">
        <v>103</v>
      </c>
      <c r="C21" s="4" t="s">
        <v>761</v>
      </c>
      <c r="D21" s="4" t="s">
        <v>723</v>
      </c>
      <c r="E21" s="4">
        <v>7</v>
      </c>
      <c r="F21" s="4">
        <v>6500</v>
      </c>
    </row>
    <row r="22" spans="2:8" x14ac:dyDescent="0.3">
      <c r="B22" s="4">
        <v>104</v>
      </c>
      <c r="C22" s="4" t="s">
        <v>762</v>
      </c>
      <c r="D22" s="4" t="s">
        <v>730</v>
      </c>
      <c r="E22" s="4">
        <v>4</v>
      </c>
      <c r="F22" s="4">
        <v>45000</v>
      </c>
    </row>
    <row r="23" spans="2:8" x14ac:dyDescent="0.3">
      <c r="B23" s="4">
        <v>105</v>
      </c>
      <c r="C23" s="4" t="s">
        <v>763</v>
      </c>
      <c r="D23" s="4" t="s">
        <v>732</v>
      </c>
      <c r="E23" s="4">
        <v>5</v>
      </c>
      <c r="F23" s="4">
        <v>3000</v>
      </c>
    </row>
    <row r="25" spans="2:8" x14ac:dyDescent="0.3">
      <c r="B25" s="3" t="s">
        <v>718</v>
      </c>
      <c r="C25" s="3" t="s">
        <v>596</v>
      </c>
      <c r="D25" s="3" t="s">
        <v>719</v>
      </c>
      <c r="E25" s="3" t="s">
        <v>720</v>
      </c>
      <c r="F25" s="3" t="s">
        <v>128</v>
      </c>
    </row>
    <row r="26" spans="2:8" x14ac:dyDescent="0.3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">
      <c r="B30" s="12" t="s">
        <v>718</v>
      </c>
      <c r="C30" s="34">
        <v>100</v>
      </c>
      <c r="D30" s="34">
        <v>101</v>
      </c>
      <c r="E30" s="34">
        <v>102</v>
      </c>
      <c r="F30" s="34">
        <v>103</v>
      </c>
      <c r="G30" s="34">
        <v>104</v>
      </c>
      <c r="H30" s="34">
        <v>105</v>
      </c>
    </row>
    <row r="31" spans="2:8" x14ac:dyDescent="0.3">
      <c r="B31" s="12" t="s">
        <v>596</v>
      </c>
      <c r="C31" s="34" t="s">
        <v>759</v>
      </c>
      <c r="D31" s="34" t="s">
        <v>760</v>
      </c>
      <c r="E31" s="34" t="s">
        <v>99</v>
      </c>
      <c r="F31" s="34" t="s">
        <v>761</v>
      </c>
      <c r="G31" s="34" t="s">
        <v>762</v>
      </c>
      <c r="H31" s="34" t="s">
        <v>763</v>
      </c>
    </row>
    <row r="32" spans="2:8" x14ac:dyDescent="0.3">
      <c r="B32" s="12" t="s">
        <v>719</v>
      </c>
      <c r="C32" s="34" t="s">
        <v>722</v>
      </c>
      <c r="D32" s="34" t="s">
        <v>725</v>
      </c>
      <c r="E32" s="34" t="s">
        <v>727</v>
      </c>
      <c r="F32" s="34" t="s">
        <v>723</v>
      </c>
      <c r="G32" s="34" t="s">
        <v>730</v>
      </c>
      <c r="H32" s="34" t="s">
        <v>732</v>
      </c>
    </row>
    <row r="33" spans="2:8" x14ac:dyDescent="0.3">
      <c r="B33" s="12" t="s">
        <v>720</v>
      </c>
      <c r="C33" s="34">
        <v>3</v>
      </c>
      <c r="D33" s="34">
        <v>5</v>
      </c>
      <c r="E33" s="34">
        <v>6</v>
      </c>
      <c r="F33" s="34">
        <v>7</v>
      </c>
      <c r="G33" s="34">
        <v>4</v>
      </c>
      <c r="H33" s="34">
        <v>5</v>
      </c>
    </row>
    <row r="34" spans="2:8" x14ac:dyDescent="0.3">
      <c r="B34" s="12" t="s">
        <v>128</v>
      </c>
      <c r="C34" s="34">
        <v>1200</v>
      </c>
      <c r="D34" s="34">
        <v>5000</v>
      </c>
      <c r="E34" s="34">
        <v>230</v>
      </c>
      <c r="F34" s="34">
        <v>6500</v>
      </c>
      <c r="G34" s="34">
        <v>45000</v>
      </c>
      <c r="H34" s="34">
        <v>3000</v>
      </c>
    </row>
    <row r="36" spans="2:8" x14ac:dyDescent="0.3">
      <c r="B36" s="12" t="s">
        <v>718</v>
      </c>
      <c r="C36" s="34">
        <v>101</v>
      </c>
      <c r="E36" s="12" t="s">
        <v>718</v>
      </c>
      <c r="F36" s="34">
        <v>103</v>
      </c>
    </row>
    <row r="37" spans="2:8" x14ac:dyDescent="0.3">
      <c r="B37" s="12" t="s">
        <v>719</v>
      </c>
      <c r="C37" s="4" t="str">
        <f>_xlfn.XLOOKUP(C36,B30:H30,B32:H32)</f>
        <v>P004</v>
      </c>
      <c r="E37" s="12" t="s">
        <v>596</v>
      </c>
      <c r="F37" s="4" t="str">
        <f>_xlfn.XLOOKUP($F$36,$B$30:$H$30,B31:H31)</f>
        <v>Priner</v>
      </c>
    </row>
    <row r="38" spans="2:8" x14ac:dyDescent="0.3">
      <c r="E38" s="12" t="s">
        <v>719</v>
      </c>
      <c r="F38" s="4" t="str">
        <f>_xlfn.XLOOKUP($F$36,$B$30:$H$30,B32:H32)</f>
        <v>P003</v>
      </c>
    </row>
    <row r="39" spans="2:8" x14ac:dyDescent="0.3">
      <c r="E39" s="12" t="s">
        <v>720</v>
      </c>
      <c r="F39" s="4">
        <f>_xlfn.XLOOKUP($F$36,$B$30:$H$30,B33:H33)</f>
        <v>7</v>
      </c>
    </row>
    <row r="40" spans="2:8" x14ac:dyDescent="0.3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Normal="100" workbookViewId="0">
      <pane ySplit="1" topLeftCell="A2" activePane="bottomLeft" state="frozen"/>
      <selection pane="bottomLeft" activeCell="N8" sqref="N8"/>
    </sheetView>
  </sheetViews>
  <sheetFormatPr defaultRowHeight="18.75" x14ac:dyDescent="0.3"/>
  <cols>
    <col min="2" max="2" width="10.296875" customWidth="1"/>
    <col min="4" max="4" width="8.59765625" customWidth="1"/>
    <col min="10" max="10" width="5.59765625" customWidth="1"/>
    <col min="13" max="13" width="11.5" customWidth="1"/>
  </cols>
  <sheetData>
    <row r="1" spans="1:18" s="2" customFormat="1" ht="32.65" customHeight="1" thickBot="1" x14ac:dyDescent="0.35">
      <c r="A1" s="36">
        <v>69</v>
      </c>
      <c r="B1" s="1" t="s">
        <v>75</v>
      </c>
    </row>
    <row r="2" spans="1:18" ht="16.5" customHeight="1" thickBot="1" x14ac:dyDescent="0.35">
      <c r="A2" s="37" t="s">
        <v>2</v>
      </c>
    </row>
    <row r="3" spans="1:18" ht="27.75" thickTop="1" x14ac:dyDescent="0.3">
      <c r="B3" s="122" t="s">
        <v>764</v>
      </c>
      <c r="C3" s="123" t="s">
        <v>765</v>
      </c>
      <c r="D3" s="123" t="s">
        <v>766</v>
      </c>
      <c r="E3" s="123" t="s">
        <v>767</v>
      </c>
      <c r="F3" s="123" t="s">
        <v>768</v>
      </c>
      <c r="G3" s="123" t="s">
        <v>769</v>
      </c>
      <c r="H3" s="123" t="s">
        <v>770</v>
      </c>
      <c r="I3" s="124" t="s">
        <v>771</v>
      </c>
      <c r="K3" s="113" t="s">
        <v>772</v>
      </c>
      <c r="L3" s="113"/>
      <c r="M3" s="113"/>
      <c r="N3" s="113"/>
      <c r="O3" s="113"/>
      <c r="P3" s="113"/>
      <c r="Q3" s="113"/>
      <c r="R3" s="114"/>
    </row>
    <row r="4" spans="1:18" ht="19.5" thickBot="1" x14ac:dyDescent="0.35">
      <c r="B4" s="106" t="s">
        <v>773</v>
      </c>
      <c r="C4" s="107">
        <v>200</v>
      </c>
      <c r="D4" s="107">
        <v>3000</v>
      </c>
      <c r="E4" s="107" t="s">
        <v>774</v>
      </c>
      <c r="F4" s="108">
        <v>4.5</v>
      </c>
      <c r="G4" s="107">
        <v>4</v>
      </c>
      <c r="H4" s="107">
        <v>3</v>
      </c>
      <c r="I4" s="109">
        <f t="shared" ref="I4:I19" si="0">F4*G4*H4</f>
        <v>54</v>
      </c>
      <c r="R4" s="115"/>
    </row>
    <row r="5" spans="1:18" ht="19.5" thickTop="1" x14ac:dyDescent="0.3">
      <c r="B5" s="106" t="s">
        <v>775</v>
      </c>
      <c r="C5" s="107">
        <v>100</v>
      </c>
      <c r="D5" s="107">
        <v>2000</v>
      </c>
      <c r="E5" s="107" t="s">
        <v>774</v>
      </c>
      <c r="F5" s="108">
        <v>2</v>
      </c>
      <c r="G5" s="107">
        <v>15</v>
      </c>
      <c r="H5" s="107">
        <v>2</v>
      </c>
      <c r="I5" s="109">
        <f t="shared" si="0"/>
        <v>60</v>
      </c>
      <c r="N5" s="116" t="s">
        <v>767</v>
      </c>
      <c r="O5" s="117" t="s">
        <v>776</v>
      </c>
      <c r="R5" s="115"/>
    </row>
    <row r="6" spans="1:18" ht="19.5" thickBot="1" x14ac:dyDescent="0.35">
      <c r="B6" s="106" t="s">
        <v>777</v>
      </c>
      <c r="C6" s="107">
        <v>60</v>
      </c>
      <c r="D6" s="107"/>
      <c r="E6" s="107"/>
      <c r="F6" s="108"/>
      <c r="G6" s="107"/>
      <c r="H6" s="107"/>
      <c r="I6" s="109">
        <f t="shared" si="0"/>
        <v>0</v>
      </c>
      <c r="K6" s="153" t="s">
        <v>778</v>
      </c>
      <c r="L6" s="153"/>
      <c r="M6" s="154"/>
      <c r="N6" s="118" t="s">
        <v>774</v>
      </c>
      <c r="R6" s="115"/>
    </row>
    <row r="7" spans="1:18" ht="19.5" thickTop="1" x14ac:dyDescent="0.3">
      <c r="B7" s="106" t="s">
        <v>779</v>
      </c>
      <c r="C7" s="107">
        <v>10</v>
      </c>
      <c r="D7" s="107">
        <v>8000</v>
      </c>
      <c r="E7" s="107" t="s">
        <v>780</v>
      </c>
      <c r="F7" s="108">
        <v>0.8</v>
      </c>
      <c r="G7" s="107">
        <v>25</v>
      </c>
      <c r="H7" s="107">
        <v>6</v>
      </c>
      <c r="I7" s="109">
        <f t="shared" si="0"/>
        <v>120</v>
      </c>
      <c r="R7" s="115"/>
    </row>
    <row r="8" spans="1:18" ht="16.5" customHeight="1" x14ac:dyDescent="0.3">
      <c r="B8" s="106" t="s">
        <v>773</v>
      </c>
      <c r="C8" s="107">
        <v>80</v>
      </c>
      <c r="D8" s="107">
        <v>1000</v>
      </c>
      <c r="E8" s="107" t="s">
        <v>774</v>
      </c>
      <c r="F8" s="108">
        <v>0.2</v>
      </c>
      <c r="G8" s="107">
        <v>40</v>
      </c>
      <c r="H8" s="107">
        <v>3</v>
      </c>
      <c r="I8" s="109">
        <f t="shared" si="0"/>
        <v>24</v>
      </c>
      <c r="K8" t="str">
        <f>"The SUM value of "&amp;N6&amp;" is : "</f>
        <v xml:space="preserve">The SUM value of Horizon is : </v>
      </c>
      <c r="M8" s="121"/>
      <c r="N8" s="119">
        <f>DSUM(B3:I19,3,N5:N6)</f>
        <v>12800</v>
      </c>
      <c r="O8" s="120"/>
      <c r="R8" s="115"/>
    </row>
    <row r="9" spans="1:18" x14ac:dyDescent="0.3">
      <c r="B9" s="106" t="s">
        <v>777</v>
      </c>
      <c r="C9" s="107">
        <v>100</v>
      </c>
      <c r="D9" s="107" t="s">
        <v>781</v>
      </c>
      <c r="E9" s="107" t="s">
        <v>774</v>
      </c>
      <c r="F9" s="108">
        <v>1.25</v>
      </c>
      <c r="G9" s="107">
        <v>10</v>
      </c>
      <c r="H9" s="107">
        <v>4</v>
      </c>
      <c r="I9" s="109">
        <f t="shared" si="0"/>
        <v>50</v>
      </c>
      <c r="R9" s="115"/>
    </row>
    <row r="10" spans="1:18" x14ac:dyDescent="0.3">
      <c r="B10" s="106" t="s">
        <v>777</v>
      </c>
      <c r="C10" s="107">
        <v>200</v>
      </c>
      <c r="D10" s="107">
        <v>3000</v>
      </c>
      <c r="E10" s="107" t="s">
        <v>774</v>
      </c>
      <c r="F10" s="108">
        <v>2.5</v>
      </c>
      <c r="G10" s="107">
        <v>15</v>
      </c>
      <c r="H10" s="107">
        <v>1</v>
      </c>
      <c r="I10" s="109">
        <f t="shared" si="0"/>
        <v>37.5</v>
      </c>
    </row>
    <row r="11" spans="1:18" x14ac:dyDescent="0.3">
      <c r="B11" s="106" t="s">
        <v>779</v>
      </c>
      <c r="C11" s="107">
        <v>25</v>
      </c>
      <c r="D11" s="107" t="s">
        <v>781</v>
      </c>
      <c r="E11" s="107" t="s">
        <v>780</v>
      </c>
      <c r="F11" s="108">
        <v>0.5</v>
      </c>
      <c r="G11" s="107">
        <v>10</v>
      </c>
      <c r="H11" s="107">
        <v>3</v>
      </c>
      <c r="I11" s="109">
        <f t="shared" si="0"/>
        <v>15</v>
      </c>
    </row>
    <row r="12" spans="1:18" x14ac:dyDescent="0.3">
      <c r="B12" s="106" t="s">
        <v>773</v>
      </c>
      <c r="C12" s="107">
        <v>200</v>
      </c>
      <c r="D12" s="107">
        <v>3000</v>
      </c>
      <c r="E12" s="107" t="s">
        <v>780</v>
      </c>
      <c r="F12" s="108">
        <v>5</v>
      </c>
      <c r="G12" s="107">
        <v>3</v>
      </c>
      <c r="H12" s="107">
        <v>2</v>
      </c>
      <c r="I12" s="109">
        <f t="shared" si="0"/>
        <v>30</v>
      </c>
    </row>
    <row r="13" spans="1:18" x14ac:dyDescent="0.3">
      <c r="B13" s="106" t="s">
        <v>775</v>
      </c>
      <c r="C13" s="107">
        <v>100</v>
      </c>
      <c r="D13" s="107">
        <v>2000</v>
      </c>
      <c r="E13" s="107" t="s">
        <v>780</v>
      </c>
      <c r="F13" s="108">
        <v>1.8</v>
      </c>
      <c r="G13" s="107">
        <v>20</v>
      </c>
      <c r="H13" s="107">
        <v>5</v>
      </c>
      <c r="I13" s="109">
        <f t="shared" si="0"/>
        <v>180</v>
      </c>
    </row>
    <row r="14" spans="1:18" x14ac:dyDescent="0.3">
      <c r="B14" s="106" t="s">
        <v>773</v>
      </c>
      <c r="C14" s="107">
        <v>100</v>
      </c>
      <c r="D14" s="107" t="s">
        <v>781</v>
      </c>
      <c r="E14" s="107" t="s">
        <v>780</v>
      </c>
      <c r="F14" s="108">
        <v>0.25</v>
      </c>
      <c r="G14" s="107">
        <v>10</v>
      </c>
      <c r="H14" s="107">
        <v>5</v>
      </c>
      <c r="I14" s="109">
        <f t="shared" si="0"/>
        <v>12.5</v>
      </c>
    </row>
    <row r="15" spans="1:18" x14ac:dyDescent="0.3">
      <c r="B15" s="106" t="s">
        <v>773</v>
      </c>
      <c r="C15" s="107">
        <v>10</v>
      </c>
      <c r="D15" s="107">
        <v>800</v>
      </c>
      <c r="E15" s="107" t="s">
        <v>774</v>
      </c>
      <c r="F15" s="108">
        <v>0.2</v>
      </c>
      <c r="G15" s="107">
        <v>25</v>
      </c>
      <c r="H15" s="107">
        <v>2</v>
      </c>
      <c r="I15" s="109">
        <f t="shared" si="0"/>
        <v>10</v>
      </c>
      <c r="K15" s="155" t="s">
        <v>782</v>
      </c>
      <c r="L15" s="155"/>
    </row>
    <row r="16" spans="1:18" x14ac:dyDescent="0.3">
      <c r="B16" s="106" t="s">
        <v>773</v>
      </c>
      <c r="C16" s="107">
        <v>60</v>
      </c>
      <c r="D16" s="107">
        <v>1000</v>
      </c>
      <c r="E16" s="107" t="s">
        <v>780</v>
      </c>
      <c r="F16" s="108">
        <v>0.15</v>
      </c>
      <c r="G16" s="107">
        <v>25</v>
      </c>
      <c r="H16" s="107">
        <v>1</v>
      </c>
      <c r="I16" s="109">
        <f t="shared" si="0"/>
        <v>3.75</v>
      </c>
      <c r="K16" s="4" t="s">
        <v>774</v>
      </c>
      <c r="L16" s="4" t="s">
        <v>773</v>
      </c>
    </row>
    <row r="17" spans="2:12" x14ac:dyDescent="0.3">
      <c r="B17" s="106" t="s">
        <v>773</v>
      </c>
      <c r="C17" s="107">
        <v>80</v>
      </c>
      <c r="D17" s="107">
        <v>1000</v>
      </c>
      <c r="E17" s="107" t="s">
        <v>780</v>
      </c>
      <c r="F17" s="108">
        <v>0.2</v>
      </c>
      <c r="G17" s="107">
        <v>30</v>
      </c>
      <c r="H17" s="107">
        <v>2</v>
      </c>
      <c r="I17" s="109">
        <f t="shared" si="0"/>
        <v>12</v>
      </c>
      <c r="K17" s="4" t="s">
        <v>780</v>
      </c>
      <c r="L17" s="4" t="s">
        <v>775</v>
      </c>
    </row>
    <row r="18" spans="2:12" x14ac:dyDescent="0.3">
      <c r="B18" s="106" t="s">
        <v>773</v>
      </c>
      <c r="C18" s="107">
        <v>100</v>
      </c>
      <c r="D18" s="107">
        <v>2000</v>
      </c>
      <c r="E18" s="107" t="s">
        <v>774</v>
      </c>
      <c r="F18" s="108">
        <v>0.8</v>
      </c>
      <c r="G18" s="107">
        <v>10</v>
      </c>
      <c r="H18" s="107">
        <v>5</v>
      </c>
      <c r="I18" s="109">
        <f t="shared" si="0"/>
        <v>40</v>
      </c>
      <c r="K18" s="4"/>
      <c r="L18" s="4" t="s">
        <v>777</v>
      </c>
    </row>
    <row r="19" spans="2:12" ht="19.5" thickBot="1" x14ac:dyDescent="0.35">
      <c r="B19" s="110" t="s">
        <v>773</v>
      </c>
      <c r="C19" s="111">
        <v>40</v>
      </c>
      <c r="D19" s="111">
        <v>1000</v>
      </c>
      <c r="E19" s="111" t="s">
        <v>774</v>
      </c>
      <c r="F19" s="112">
        <v>0.1</v>
      </c>
      <c r="G19" s="111">
        <v>20</v>
      </c>
      <c r="H19" s="111">
        <v>5</v>
      </c>
      <c r="I19" s="109">
        <f t="shared" si="0"/>
        <v>10</v>
      </c>
      <c r="K19" s="4"/>
      <c r="L19" s="4" t="s">
        <v>779</v>
      </c>
    </row>
    <row r="20" spans="2:12" ht="19.5" thickTop="1" x14ac:dyDescent="0.3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N39"/>
  <sheetViews>
    <sheetView topLeftCell="B1" zoomScale="130" zoomScaleNormal="130" workbookViewId="0">
      <pane ySplit="1" topLeftCell="A13" activePane="bottomLeft" state="frozen"/>
      <selection pane="bottomLeft" activeCell="G20" sqref="G20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4" s="2" customFormat="1" ht="32.65" customHeight="1" thickBot="1" x14ac:dyDescent="0.35">
      <c r="A1" s="36">
        <v>70</v>
      </c>
      <c r="B1" s="147" t="s">
        <v>76</v>
      </c>
      <c r="C1" s="147"/>
    </row>
    <row r="2" spans="1:14" x14ac:dyDescent="0.3">
      <c r="A2" s="37" t="s">
        <v>2</v>
      </c>
    </row>
    <row r="3" spans="1:14" x14ac:dyDescent="0.3">
      <c r="B3" s="3" t="s">
        <v>783</v>
      </c>
      <c r="C3" s="3" t="s">
        <v>83</v>
      </c>
      <c r="D3" s="3" t="s">
        <v>84</v>
      </c>
      <c r="E3" s="42" t="s">
        <v>96</v>
      </c>
      <c r="G3" s="3" t="s">
        <v>83</v>
      </c>
      <c r="H3" s="3" t="s">
        <v>84</v>
      </c>
      <c r="K3" s="38"/>
      <c r="L3" s="38"/>
      <c r="M3" s="38"/>
    </row>
    <row r="4" spans="1:14" x14ac:dyDescent="0.3">
      <c r="B4" s="4" t="s">
        <v>722</v>
      </c>
      <c r="C4" s="39" t="s">
        <v>784</v>
      </c>
      <c r="D4" s="21" t="s">
        <v>90</v>
      </c>
      <c r="E4" s="39">
        <v>18500</v>
      </c>
      <c r="G4" s="4" t="s">
        <v>785</v>
      </c>
      <c r="H4" s="4" t="s">
        <v>547</v>
      </c>
    </row>
    <row r="5" spans="1:14" x14ac:dyDescent="0.3">
      <c r="B5" s="4" t="s">
        <v>727</v>
      </c>
      <c r="C5" s="39" t="s">
        <v>130</v>
      </c>
      <c r="D5" s="21" t="s">
        <v>92</v>
      </c>
      <c r="E5" s="39">
        <v>6200</v>
      </c>
    </row>
    <row r="6" spans="1:14" x14ac:dyDescent="0.3">
      <c r="B6" s="4" t="s">
        <v>723</v>
      </c>
      <c r="C6" s="39" t="s">
        <v>120</v>
      </c>
      <c r="D6" s="21" t="s">
        <v>94</v>
      </c>
      <c r="E6" s="39">
        <v>32500</v>
      </c>
      <c r="G6" s="3" t="s">
        <v>783</v>
      </c>
      <c r="H6" s="3" t="s">
        <v>83</v>
      </c>
      <c r="I6" s="3" t="s">
        <v>84</v>
      </c>
      <c r="J6" s="3" t="s">
        <v>96</v>
      </c>
    </row>
    <row r="7" spans="1:14" x14ac:dyDescent="0.3">
      <c r="B7" s="4" t="s">
        <v>725</v>
      </c>
      <c r="C7" s="39" t="s">
        <v>784</v>
      </c>
      <c r="D7" s="21" t="s">
        <v>90</v>
      </c>
      <c r="E7" s="39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4" x14ac:dyDescent="0.3">
      <c r="B8" s="4" t="s">
        <v>730</v>
      </c>
      <c r="C8" s="39" t="s">
        <v>130</v>
      </c>
      <c r="D8" s="21" t="s">
        <v>92</v>
      </c>
      <c r="E8" s="39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4" x14ac:dyDescent="0.3">
      <c r="B9" s="4" t="s">
        <v>732</v>
      </c>
      <c r="C9" s="39" t="s">
        <v>120</v>
      </c>
      <c r="D9" s="21" t="s">
        <v>94</v>
      </c>
      <c r="E9" s="39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4" x14ac:dyDescent="0.3">
      <c r="B10" s="4" t="s">
        <v>786</v>
      </c>
      <c r="C10" s="39" t="s">
        <v>784</v>
      </c>
      <c r="D10" s="21" t="s">
        <v>90</v>
      </c>
      <c r="E10" s="39">
        <v>27500</v>
      </c>
    </row>
    <row r="11" spans="1:14" x14ac:dyDescent="0.3">
      <c r="B11" s="4" t="s">
        <v>787</v>
      </c>
      <c r="C11" s="39" t="s">
        <v>130</v>
      </c>
      <c r="D11" s="21" t="s">
        <v>92</v>
      </c>
      <c r="E11" s="39">
        <v>6600</v>
      </c>
      <c r="G11" s="3"/>
      <c r="H11" s="3"/>
      <c r="I11" s="3"/>
      <c r="J11" s="3"/>
      <c r="K11" s="3" t="s">
        <v>783</v>
      </c>
      <c r="L11" s="3" t="s">
        <v>83</v>
      </c>
      <c r="M11" s="3" t="s">
        <v>84</v>
      </c>
      <c r="N11" s="3" t="s">
        <v>96</v>
      </c>
    </row>
    <row r="12" spans="1:14" x14ac:dyDescent="0.3">
      <c r="B12" s="4" t="s">
        <v>788</v>
      </c>
      <c r="C12" s="39" t="s">
        <v>789</v>
      </c>
      <c r="D12" s="21" t="s">
        <v>90</v>
      </c>
      <c r="E12" s="39">
        <v>6100</v>
      </c>
      <c r="K12" t="str" cm="1">
        <f t="array" ref="K12:N14">_xlfn._xlws.FILTER(B3:E13,(G4=C3:C13)*(H4=D3:D13))</f>
        <v>P002</v>
      </c>
      <c r="L12" t="str">
        <v>Jeans</v>
      </c>
      <c r="M12" t="str">
        <v>West</v>
      </c>
      <c r="N12">
        <v>6200</v>
      </c>
    </row>
    <row r="13" spans="1:14" x14ac:dyDescent="0.3">
      <c r="B13" s="4" t="s">
        <v>790</v>
      </c>
      <c r="C13" s="39" t="s">
        <v>129</v>
      </c>
      <c r="D13" s="21" t="s">
        <v>90</v>
      </c>
      <c r="E13" s="39">
        <v>28000</v>
      </c>
      <c r="K13" t="str">
        <v>P005</v>
      </c>
      <c r="L13" t="str">
        <v>Jeans</v>
      </c>
      <c r="M13" t="str">
        <v>West</v>
      </c>
      <c r="N13">
        <v>9400</v>
      </c>
    </row>
    <row r="14" spans="1:14" x14ac:dyDescent="0.3">
      <c r="K14" t="str">
        <v>P008</v>
      </c>
      <c r="L14" t="str">
        <v>Jeans</v>
      </c>
      <c r="M14" t="str">
        <v>West</v>
      </c>
      <c r="N14">
        <v>6600</v>
      </c>
    </row>
    <row r="16" spans="1:14" x14ac:dyDescent="0.3">
      <c r="B16" s="3" t="s">
        <v>791</v>
      </c>
      <c r="C16" s="3" t="s">
        <v>783</v>
      </c>
      <c r="D16" s="3" t="s">
        <v>83</v>
      </c>
      <c r="E16" s="3" t="s">
        <v>84</v>
      </c>
      <c r="G16" s="3" t="s">
        <v>792</v>
      </c>
      <c r="H16" s="27">
        <v>45292</v>
      </c>
    </row>
    <row r="17" spans="2:10" x14ac:dyDescent="0.3">
      <c r="B17" s="27">
        <v>45292</v>
      </c>
      <c r="C17" s="4" t="s">
        <v>722</v>
      </c>
      <c r="D17" s="39" t="s">
        <v>784</v>
      </c>
      <c r="E17" s="4" t="s">
        <v>90</v>
      </c>
      <c r="G17" s="31" t="s">
        <v>634</v>
      </c>
      <c r="H17" s="27">
        <v>45301</v>
      </c>
    </row>
    <row r="18" spans="2:10" x14ac:dyDescent="0.3">
      <c r="B18" s="27">
        <v>45296</v>
      </c>
      <c r="C18" s="4" t="s">
        <v>727</v>
      </c>
      <c r="D18" s="39" t="s">
        <v>130</v>
      </c>
      <c r="E18" s="4" t="s">
        <v>92</v>
      </c>
    </row>
    <row r="19" spans="2:10" x14ac:dyDescent="0.3">
      <c r="B19" s="27">
        <v>45298</v>
      </c>
      <c r="C19" s="4" t="s">
        <v>723</v>
      </c>
      <c r="D19" s="39" t="s">
        <v>120</v>
      </c>
      <c r="E19" s="4" t="s">
        <v>94</v>
      </c>
      <c r="G19" s="3" t="s">
        <v>791</v>
      </c>
      <c r="H19" s="3" t="s">
        <v>783</v>
      </c>
      <c r="I19" s="3" t="s">
        <v>83</v>
      </c>
      <c r="J19" s="3" t="s">
        <v>84</v>
      </c>
    </row>
    <row r="20" spans="2:10" x14ac:dyDescent="0.3">
      <c r="B20" s="27">
        <v>45306</v>
      </c>
      <c r="C20" s="4" t="s">
        <v>725</v>
      </c>
      <c r="D20" s="39" t="s">
        <v>784</v>
      </c>
      <c r="E20" s="4" t="s">
        <v>90</v>
      </c>
      <c r="G20" s="30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">
      <c r="B21" s="27">
        <v>45307</v>
      </c>
      <c r="C21" s="4" t="s">
        <v>730</v>
      </c>
      <c r="D21" s="39" t="s">
        <v>130</v>
      </c>
      <c r="E21" s="4" t="s">
        <v>92</v>
      </c>
      <c r="G21" s="30">
        <v>45296</v>
      </c>
      <c r="H21" t="str">
        <v>P002</v>
      </c>
      <c r="I21" t="str">
        <v>Jeans</v>
      </c>
      <c r="J21" t="str">
        <v>West</v>
      </c>
    </row>
    <row r="22" spans="2:10" x14ac:dyDescent="0.3">
      <c r="B22" s="27">
        <v>45308</v>
      </c>
      <c r="C22" s="4" t="s">
        <v>732</v>
      </c>
      <c r="D22" s="39" t="s">
        <v>120</v>
      </c>
      <c r="E22" s="4" t="s">
        <v>94</v>
      </c>
      <c r="G22" s="30">
        <v>45298</v>
      </c>
      <c r="H22" t="str">
        <v>P003</v>
      </c>
      <c r="I22" t="str">
        <v>Jacket</v>
      </c>
      <c r="J22" t="str">
        <v>North</v>
      </c>
    </row>
    <row r="23" spans="2:10" x14ac:dyDescent="0.3">
      <c r="B23" s="27">
        <v>45334</v>
      </c>
      <c r="C23" s="4" t="s">
        <v>786</v>
      </c>
      <c r="D23" s="39" t="s">
        <v>784</v>
      </c>
      <c r="E23" s="4" t="s">
        <v>90</v>
      </c>
      <c r="G23" s="30">
        <v>45296</v>
      </c>
      <c r="H23" t="str">
        <v>P008</v>
      </c>
      <c r="I23" t="str">
        <v>Jeans</v>
      </c>
      <c r="J23" t="str">
        <v>West</v>
      </c>
    </row>
    <row r="24" spans="2:10" x14ac:dyDescent="0.3">
      <c r="B24" s="27">
        <v>45296</v>
      </c>
      <c r="C24" s="4" t="s">
        <v>787</v>
      </c>
      <c r="D24" s="39" t="s">
        <v>130</v>
      </c>
      <c r="E24" s="4" t="s">
        <v>92</v>
      </c>
      <c r="G24" s="30">
        <v>45298</v>
      </c>
      <c r="H24" t="str">
        <v>P009</v>
      </c>
      <c r="I24" t="str">
        <v>Hoodie</v>
      </c>
      <c r="J24" t="str">
        <v>East</v>
      </c>
    </row>
    <row r="25" spans="2:10" x14ac:dyDescent="0.3">
      <c r="B25" s="27">
        <v>45298</v>
      </c>
      <c r="C25" s="4" t="s">
        <v>788</v>
      </c>
      <c r="D25" s="39" t="s">
        <v>789</v>
      </c>
      <c r="E25" s="4" t="s">
        <v>90</v>
      </c>
    </row>
    <row r="26" spans="2:10" x14ac:dyDescent="0.3">
      <c r="B26" s="27">
        <v>45306</v>
      </c>
      <c r="C26" s="4" t="s">
        <v>790</v>
      </c>
      <c r="D26" s="39" t="s">
        <v>129</v>
      </c>
      <c r="E26" s="4" t="s">
        <v>90</v>
      </c>
    </row>
    <row r="28" spans="2:10" x14ac:dyDescent="0.3">
      <c r="G28" s="3" t="s">
        <v>792</v>
      </c>
      <c r="H28" s="27">
        <v>45292</v>
      </c>
    </row>
    <row r="29" spans="2:10" x14ac:dyDescent="0.3">
      <c r="B29" s="3" t="s">
        <v>791</v>
      </c>
      <c r="C29" s="3" t="s">
        <v>783</v>
      </c>
      <c r="D29" s="3" t="s">
        <v>83</v>
      </c>
      <c r="E29" s="3" t="s">
        <v>84</v>
      </c>
      <c r="G29" s="31" t="s">
        <v>634</v>
      </c>
      <c r="H29" s="27">
        <v>45301</v>
      </c>
    </row>
    <row r="30" spans="2:10" x14ac:dyDescent="0.3">
      <c r="B30" s="27">
        <v>45292</v>
      </c>
      <c r="C30" s="4" t="s">
        <v>722</v>
      </c>
      <c r="D30" s="39" t="s">
        <v>784</v>
      </c>
      <c r="E30" s="4" t="s">
        <v>90</v>
      </c>
    </row>
    <row r="31" spans="2:10" x14ac:dyDescent="0.3">
      <c r="B31" s="27">
        <v>45296</v>
      </c>
      <c r="C31" s="4" t="s">
        <v>727</v>
      </c>
      <c r="D31" s="39" t="s">
        <v>130</v>
      </c>
      <c r="E31" s="4" t="s">
        <v>92</v>
      </c>
      <c r="G31" s="3" t="s">
        <v>791</v>
      </c>
      <c r="H31" s="3" t="s">
        <v>783</v>
      </c>
      <c r="I31" s="3" t="s">
        <v>83</v>
      </c>
      <c r="J31" s="3" t="s">
        <v>84</v>
      </c>
    </row>
    <row r="32" spans="2:10" x14ac:dyDescent="0.3">
      <c r="B32" s="27">
        <v>45298</v>
      </c>
      <c r="C32" s="4" t="s">
        <v>723</v>
      </c>
      <c r="D32" s="39" t="s">
        <v>120</v>
      </c>
      <c r="E32" s="4" t="s">
        <v>94</v>
      </c>
      <c r="G32" s="30">
        <f t="array" ref="G32:J36">_xlfn._xlws.FILTER(B28:E38,(H28&lt;=B28:B38)*(H29&gt;=B28:B38))</f>
        <v>45292</v>
      </c>
      <c r="H32" t="str">
        <v>P001</v>
      </c>
      <c r="I32" t="str">
        <v>T-Shirt</v>
      </c>
      <c r="J32" t="str">
        <v>East</v>
      </c>
    </row>
    <row r="33" spans="2:10" x14ac:dyDescent="0.3">
      <c r="B33" s="27">
        <v>45306</v>
      </c>
      <c r="C33" s="4" t="s">
        <v>725</v>
      </c>
      <c r="D33" s="39" t="s">
        <v>784</v>
      </c>
      <c r="E33" s="4" t="s">
        <v>90</v>
      </c>
      <c r="G33" s="30">
        <v>45296</v>
      </c>
      <c r="H33" t="str">
        <v>P002</v>
      </c>
      <c r="I33" t="str">
        <v>Jeans</v>
      </c>
      <c r="J33" t="str">
        <v>West</v>
      </c>
    </row>
    <row r="34" spans="2:10" x14ac:dyDescent="0.3">
      <c r="B34" s="27">
        <v>45307</v>
      </c>
      <c r="C34" s="4" t="s">
        <v>730</v>
      </c>
      <c r="D34" s="39" t="s">
        <v>130</v>
      </c>
      <c r="E34" s="4" t="s">
        <v>92</v>
      </c>
      <c r="G34" s="30">
        <v>45298</v>
      </c>
      <c r="H34" t="str">
        <v>P003</v>
      </c>
      <c r="I34" t="str">
        <v>Jacket</v>
      </c>
      <c r="J34" t="str">
        <v>North</v>
      </c>
    </row>
    <row r="35" spans="2:10" x14ac:dyDescent="0.3">
      <c r="B35" s="27">
        <v>45308</v>
      </c>
      <c r="C35" s="4" t="s">
        <v>732</v>
      </c>
      <c r="D35" s="39" t="s">
        <v>120</v>
      </c>
      <c r="E35" s="4" t="s">
        <v>94</v>
      </c>
      <c r="G35" s="30">
        <v>45296</v>
      </c>
      <c r="H35" t="str">
        <v>P008</v>
      </c>
      <c r="I35" t="str">
        <v>Jeans</v>
      </c>
      <c r="J35" t="str">
        <v>West</v>
      </c>
    </row>
    <row r="36" spans="2:10" x14ac:dyDescent="0.3">
      <c r="B36" s="27">
        <v>45334</v>
      </c>
      <c r="C36" s="4" t="s">
        <v>786</v>
      </c>
      <c r="D36" s="39" t="s">
        <v>784</v>
      </c>
      <c r="E36" s="4" t="s">
        <v>90</v>
      </c>
      <c r="G36" s="30">
        <v>45298</v>
      </c>
      <c r="H36" t="str">
        <v>P009</v>
      </c>
      <c r="I36" t="str">
        <v>Hoodie</v>
      </c>
      <c r="J36" t="str">
        <v>East</v>
      </c>
    </row>
    <row r="37" spans="2:10" x14ac:dyDescent="0.3">
      <c r="B37" s="27">
        <v>45296</v>
      </c>
      <c r="C37" s="4" t="s">
        <v>787</v>
      </c>
      <c r="D37" s="39" t="s">
        <v>130</v>
      </c>
      <c r="E37" s="4" t="s">
        <v>92</v>
      </c>
    </row>
    <row r="38" spans="2:10" x14ac:dyDescent="0.3">
      <c r="B38" s="27">
        <v>45298</v>
      </c>
      <c r="C38" s="4" t="s">
        <v>788</v>
      </c>
      <c r="D38" s="39" t="s">
        <v>789</v>
      </c>
      <c r="E38" s="4" t="s">
        <v>90</v>
      </c>
    </row>
    <row r="39" spans="2:10" x14ac:dyDescent="0.3">
      <c r="B39" s="27">
        <v>45306</v>
      </c>
      <c r="C39" s="4" t="s">
        <v>790</v>
      </c>
      <c r="D39" s="39" t="s">
        <v>129</v>
      </c>
      <c r="E39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F17" sqref="F17"/>
    </sheetView>
  </sheetViews>
  <sheetFormatPr defaultRowHeight="18.75" x14ac:dyDescent="0.3"/>
  <cols>
    <col min="2" max="2" width="18.3984375" customWidth="1"/>
    <col min="3" max="3" width="13.3984375" customWidth="1"/>
    <col min="4" max="4" width="13.19921875" customWidth="1"/>
    <col min="5" max="5" width="19.69921875" bestFit="1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71</v>
      </c>
      <c r="B1" s="1" t="s">
        <v>77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B5" s="31" t="s">
        <v>793</v>
      </c>
      <c r="C5" s="31" t="s">
        <v>794</v>
      </c>
      <c r="D5" s="31" t="s">
        <v>795</v>
      </c>
      <c r="E5" s="31" t="s">
        <v>796</v>
      </c>
      <c r="F5" s="31" t="s">
        <v>346</v>
      </c>
      <c r="G5" s="31"/>
    </row>
    <row r="6" spans="1:13" x14ac:dyDescent="0.3">
      <c r="B6" s="4" t="s">
        <v>797</v>
      </c>
      <c r="C6" s="4" t="s">
        <v>798</v>
      </c>
      <c r="D6" s="4" t="s">
        <v>799</v>
      </c>
      <c r="E6" s="4" t="s">
        <v>800</v>
      </c>
      <c r="F6" s="4" t="s">
        <v>801</v>
      </c>
      <c r="G6" s="4"/>
    </row>
    <row r="7" spans="1:13" x14ac:dyDescent="0.3">
      <c r="B7" s="4" t="s">
        <v>802</v>
      </c>
      <c r="C7" s="4" t="s">
        <v>803</v>
      </c>
      <c r="D7" s="4" t="s">
        <v>804</v>
      </c>
      <c r="E7" s="4" t="s">
        <v>805</v>
      </c>
      <c r="F7" s="4" t="s">
        <v>806</v>
      </c>
      <c r="G7" s="4"/>
    </row>
    <row r="8" spans="1:13" x14ac:dyDescent="0.3">
      <c r="B8" s="4" t="s">
        <v>807</v>
      </c>
      <c r="C8" s="4" t="s">
        <v>808</v>
      </c>
      <c r="D8" s="4" t="s">
        <v>809</v>
      </c>
      <c r="E8" s="4" t="s">
        <v>810</v>
      </c>
      <c r="F8" s="4" t="s">
        <v>811</v>
      </c>
      <c r="G8" s="4"/>
    </row>
    <row r="9" spans="1:13" x14ac:dyDescent="0.3">
      <c r="B9" s="4" t="s">
        <v>812</v>
      </c>
      <c r="C9" s="4" t="s">
        <v>813</v>
      </c>
      <c r="D9" s="4" t="s">
        <v>814</v>
      </c>
      <c r="E9" s="4" t="s">
        <v>815</v>
      </c>
      <c r="F9" s="4" t="s">
        <v>816</v>
      </c>
      <c r="G9" s="4"/>
    </row>
    <row r="10" spans="1:13" x14ac:dyDescent="0.3">
      <c r="B10" s="4" t="s">
        <v>817</v>
      </c>
      <c r="C10" s="4" t="s">
        <v>818</v>
      </c>
      <c r="D10" s="4" t="s">
        <v>819</v>
      </c>
      <c r="E10" s="4" t="s">
        <v>820</v>
      </c>
      <c r="F10" s="4" t="s">
        <v>821</v>
      </c>
      <c r="G10" s="4"/>
    </row>
    <row r="11" spans="1:13" x14ac:dyDescent="0.3">
      <c r="B11" s="4" t="s">
        <v>822</v>
      </c>
      <c r="C11" s="4" t="s">
        <v>823</v>
      </c>
      <c r="D11" s="4" t="s">
        <v>824</v>
      </c>
      <c r="E11" s="4" t="s">
        <v>825</v>
      </c>
      <c r="F11" s="4" t="s">
        <v>826</v>
      </c>
      <c r="G11" s="4"/>
    </row>
    <row r="12" spans="1:13" x14ac:dyDescent="0.3">
      <c r="B12" s="4" t="s">
        <v>827</v>
      </c>
      <c r="C12" s="4" t="s">
        <v>828</v>
      </c>
      <c r="D12" s="4" t="s">
        <v>829</v>
      </c>
      <c r="E12" s="4" t="s">
        <v>830</v>
      </c>
      <c r="F12" s="4" t="s">
        <v>831</v>
      </c>
      <c r="G12" s="4"/>
    </row>
    <row r="15" spans="1:13" x14ac:dyDescent="0.3">
      <c r="B15" s="31" t="s">
        <v>793</v>
      </c>
      <c r="C15" s="31" t="s">
        <v>794</v>
      </c>
      <c r="D15" s="31" t="s">
        <v>795</v>
      </c>
      <c r="E15" s="31" t="s">
        <v>796</v>
      </c>
      <c r="F15" s="31" t="s">
        <v>346</v>
      </c>
      <c r="G15" s="31"/>
    </row>
    <row r="16" spans="1:13" x14ac:dyDescent="0.3">
      <c r="B16" s="4" t="s">
        <v>812</v>
      </c>
      <c r="C16" s="4" t="str">
        <f>VLOOKUP(B16,B5:G12,2,0)</f>
        <v>Stackpole</v>
      </c>
      <c r="D16" s="4" t="str">
        <f>VLOOKUP(B16,$B$5:$G$12,3,)</f>
        <v>Lonnie</v>
      </c>
      <c r="E16" s="4" t="str">
        <f>VLOOKUP(B16,B5:G12,4,0)</f>
        <v>StackpoleL@PBY.com</v>
      </c>
      <c r="F16" s="4" t="str">
        <f>VLOOKUP(B16,$B5:$G12,5,FALSE)</f>
        <v>253-764-6538</v>
      </c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72</v>
      </c>
      <c r="B1" s="147" t="s">
        <v>78</v>
      </c>
      <c r="C1" s="147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92" t="s">
        <v>832</v>
      </c>
      <c r="C4" s="92" t="s">
        <v>363</v>
      </c>
      <c r="D4" s="92" t="s">
        <v>833</v>
      </c>
      <c r="E4" s="92" t="s">
        <v>834</v>
      </c>
    </row>
    <row r="5" spans="1:13" x14ac:dyDescent="0.3">
      <c r="B5" s="93" t="s">
        <v>835</v>
      </c>
      <c r="C5" s="94">
        <v>16753</v>
      </c>
      <c r="D5" s="93" t="s">
        <v>836</v>
      </c>
      <c r="E5" s="93" t="s">
        <v>837</v>
      </c>
    </row>
    <row r="6" spans="1:13" x14ac:dyDescent="0.3">
      <c r="B6" s="95" t="s">
        <v>838</v>
      </c>
      <c r="C6" s="96">
        <v>14808</v>
      </c>
      <c r="D6" s="95" t="s">
        <v>839</v>
      </c>
      <c r="E6" s="95" t="s">
        <v>840</v>
      </c>
    </row>
    <row r="7" spans="1:13" x14ac:dyDescent="0.3">
      <c r="B7" s="97" t="s">
        <v>841</v>
      </c>
      <c r="C7" s="98">
        <v>10644</v>
      </c>
      <c r="D7" s="97" t="s">
        <v>836</v>
      </c>
      <c r="E7" s="97" t="s">
        <v>842</v>
      </c>
    </row>
    <row r="8" spans="1:13" x14ac:dyDescent="0.3">
      <c r="B8" s="97" t="s">
        <v>843</v>
      </c>
      <c r="C8" s="98">
        <v>1390</v>
      </c>
      <c r="D8" s="97" t="s">
        <v>839</v>
      </c>
      <c r="E8" s="97" t="s">
        <v>837</v>
      </c>
    </row>
    <row r="9" spans="1:13" x14ac:dyDescent="0.3">
      <c r="B9" s="95" t="s">
        <v>844</v>
      </c>
      <c r="C9" s="96">
        <v>4865</v>
      </c>
      <c r="D9" s="95" t="s">
        <v>839</v>
      </c>
      <c r="E9" s="95" t="s">
        <v>840</v>
      </c>
    </row>
    <row r="10" spans="1:13" x14ac:dyDescent="0.3">
      <c r="B10" s="99" t="s">
        <v>841</v>
      </c>
      <c r="C10" s="100">
        <v>12438</v>
      </c>
      <c r="D10" s="99" t="s">
        <v>836</v>
      </c>
      <c r="E10" s="99" t="s">
        <v>845</v>
      </c>
    </row>
    <row r="11" spans="1:13" x14ac:dyDescent="0.3">
      <c r="B11" s="101" t="s">
        <v>838</v>
      </c>
      <c r="C11" s="102">
        <v>9339</v>
      </c>
      <c r="D11" s="101" t="s">
        <v>836</v>
      </c>
      <c r="E11" s="101" t="s">
        <v>842</v>
      </c>
    </row>
    <row r="12" spans="1:13" x14ac:dyDescent="0.3">
      <c r="B12" s="103" t="s">
        <v>835</v>
      </c>
      <c r="C12" s="104">
        <v>18919</v>
      </c>
      <c r="D12" s="103" t="s">
        <v>839</v>
      </c>
      <c r="E12" s="103" t="s">
        <v>837</v>
      </c>
    </row>
    <row r="13" spans="1:13" x14ac:dyDescent="0.3">
      <c r="B13" s="95" t="s">
        <v>843</v>
      </c>
      <c r="C13" s="96">
        <v>9213</v>
      </c>
      <c r="D13" s="95" t="s">
        <v>839</v>
      </c>
      <c r="E13" s="95" t="s">
        <v>840</v>
      </c>
    </row>
    <row r="14" spans="1:13" x14ac:dyDescent="0.3">
      <c r="B14" s="99" t="s">
        <v>843</v>
      </c>
      <c r="C14" s="100">
        <v>7433</v>
      </c>
      <c r="D14" s="99" t="s">
        <v>836</v>
      </c>
      <c r="E14" s="99" t="s">
        <v>845</v>
      </c>
    </row>
    <row r="15" spans="1:13" x14ac:dyDescent="0.3">
      <c r="B15" s="97" t="s">
        <v>844</v>
      </c>
      <c r="C15" s="98">
        <v>3255</v>
      </c>
      <c r="D15" s="97" t="s">
        <v>839</v>
      </c>
      <c r="E15" s="97" t="s">
        <v>842</v>
      </c>
    </row>
    <row r="16" spans="1:13" x14ac:dyDescent="0.3">
      <c r="B16" s="103" t="s">
        <v>841</v>
      </c>
      <c r="C16" s="104">
        <v>14867</v>
      </c>
      <c r="D16" s="103" t="s">
        <v>839</v>
      </c>
      <c r="E16" s="103" t="s">
        <v>837</v>
      </c>
    </row>
    <row r="17" spans="2:5" x14ac:dyDescent="0.3">
      <c r="B17" s="95" t="s">
        <v>841</v>
      </c>
      <c r="C17" s="96">
        <v>19302</v>
      </c>
      <c r="D17" s="95" t="s">
        <v>836</v>
      </c>
      <c r="E17" s="95" t="s">
        <v>840</v>
      </c>
    </row>
    <row r="18" spans="2:5" x14ac:dyDescent="0.3">
      <c r="B18" s="101" t="s">
        <v>835</v>
      </c>
      <c r="C18" s="102">
        <v>9698</v>
      </c>
      <c r="D18" s="101" t="s">
        <v>839</v>
      </c>
      <c r="E18" s="101" t="s">
        <v>845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B5" sqref="B5:G19"/>
    </sheetView>
  </sheetViews>
  <sheetFormatPr defaultRowHeight="18.75" x14ac:dyDescent="0.3"/>
  <cols>
    <col min="2" max="2" width="13.898437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73</v>
      </c>
      <c r="B1" s="1" t="s">
        <v>79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05" t="s">
        <v>79</v>
      </c>
    </row>
    <row r="5" spans="1:13" x14ac:dyDescent="0.3">
      <c r="B5" s="91" t="s">
        <v>319</v>
      </c>
      <c r="C5" s="91" t="s">
        <v>363</v>
      </c>
      <c r="D5" s="91" t="s">
        <v>833</v>
      </c>
      <c r="E5" s="91" t="s">
        <v>834</v>
      </c>
      <c r="F5" s="91" t="s">
        <v>846</v>
      </c>
    </row>
    <row r="6" spans="1:13" x14ac:dyDescent="0.3">
      <c r="B6" t="s">
        <v>841</v>
      </c>
      <c r="C6" s="44">
        <v>19302</v>
      </c>
      <c r="D6" t="s">
        <v>836</v>
      </c>
      <c r="E6" t="s">
        <v>840</v>
      </c>
      <c r="F6" t="s">
        <v>848</v>
      </c>
    </row>
    <row r="7" spans="1:13" x14ac:dyDescent="0.3">
      <c r="B7" t="s">
        <v>835</v>
      </c>
      <c r="C7" s="44">
        <v>18919</v>
      </c>
      <c r="D7" t="s">
        <v>839</v>
      </c>
      <c r="E7" t="s">
        <v>837</v>
      </c>
      <c r="F7" t="s">
        <v>848</v>
      </c>
    </row>
    <row r="8" spans="1:13" x14ac:dyDescent="0.3">
      <c r="B8" t="s">
        <v>838</v>
      </c>
      <c r="C8" s="44">
        <v>14808</v>
      </c>
      <c r="D8" t="s">
        <v>839</v>
      </c>
      <c r="E8" t="s">
        <v>840</v>
      </c>
      <c r="F8" t="s">
        <v>848</v>
      </c>
    </row>
    <row r="9" spans="1:13" x14ac:dyDescent="0.3">
      <c r="B9" t="s">
        <v>838</v>
      </c>
      <c r="C9" s="44">
        <v>9339</v>
      </c>
      <c r="D9" t="s">
        <v>836</v>
      </c>
      <c r="E9" t="s">
        <v>842</v>
      </c>
      <c r="F9" t="s">
        <v>848</v>
      </c>
    </row>
    <row r="10" spans="1:13" x14ac:dyDescent="0.3">
      <c r="B10" t="s">
        <v>844</v>
      </c>
      <c r="C10" s="44">
        <v>4865</v>
      </c>
      <c r="D10" t="s">
        <v>839</v>
      </c>
      <c r="E10" t="s">
        <v>840</v>
      </c>
      <c r="F10" t="s">
        <v>848</v>
      </c>
    </row>
    <row r="11" spans="1:13" x14ac:dyDescent="0.3">
      <c r="B11" t="s">
        <v>835</v>
      </c>
      <c r="C11" s="44">
        <v>16753</v>
      </c>
      <c r="D11" t="s">
        <v>836</v>
      </c>
      <c r="E11" t="s">
        <v>837</v>
      </c>
      <c r="F11" t="s">
        <v>847</v>
      </c>
    </row>
    <row r="12" spans="1:13" x14ac:dyDescent="0.3">
      <c r="B12" t="s">
        <v>841</v>
      </c>
      <c r="C12" s="44">
        <v>14867</v>
      </c>
      <c r="D12" t="s">
        <v>839</v>
      </c>
      <c r="E12" t="s">
        <v>837</v>
      </c>
      <c r="F12" t="s">
        <v>847</v>
      </c>
    </row>
    <row r="13" spans="1:13" x14ac:dyDescent="0.3">
      <c r="B13" t="s">
        <v>841</v>
      </c>
      <c r="C13" s="44">
        <v>10644</v>
      </c>
      <c r="D13" t="s">
        <v>836</v>
      </c>
      <c r="E13" t="s">
        <v>842</v>
      </c>
      <c r="F13" t="s">
        <v>847</v>
      </c>
    </row>
    <row r="14" spans="1:13" x14ac:dyDescent="0.3">
      <c r="B14" t="s">
        <v>843</v>
      </c>
      <c r="C14" s="44">
        <v>9213</v>
      </c>
      <c r="D14" t="s">
        <v>839</v>
      </c>
      <c r="E14" t="s">
        <v>840</v>
      </c>
      <c r="F14" t="s">
        <v>847</v>
      </c>
    </row>
    <row r="15" spans="1:13" x14ac:dyDescent="0.3">
      <c r="B15" t="s">
        <v>841</v>
      </c>
      <c r="C15" s="44">
        <v>12438</v>
      </c>
      <c r="D15" t="s">
        <v>836</v>
      </c>
      <c r="E15" t="s">
        <v>845</v>
      </c>
      <c r="F15" t="s">
        <v>849</v>
      </c>
    </row>
    <row r="16" spans="1:13" x14ac:dyDescent="0.3">
      <c r="B16" t="s">
        <v>835</v>
      </c>
      <c r="C16" s="44">
        <v>9698</v>
      </c>
      <c r="D16" t="s">
        <v>839</v>
      </c>
      <c r="E16" t="s">
        <v>845</v>
      </c>
      <c r="F16" t="s">
        <v>849</v>
      </c>
    </row>
    <row r="17" spans="2:6" x14ac:dyDescent="0.3">
      <c r="B17" t="s">
        <v>843</v>
      </c>
      <c r="C17" s="44">
        <v>7433</v>
      </c>
      <c r="D17" t="s">
        <v>836</v>
      </c>
      <c r="E17" t="s">
        <v>845</v>
      </c>
      <c r="F17" t="s">
        <v>849</v>
      </c>
    </row>
    <row r="18" spans="2:6" x14ac:dyDescent="0.3">
      <c r="B18" t="s">
        <v>844</v>
      </c>
      <c r="C18" s="44">
        <v>3255</v>
      </c>
      <c r="D18" t="s">
        <v>839</v>
      </c>
      <c r="E18" t="s">
        <v>842</v>
      </c>
      <c r="F18" t="s">
        <v>849</v>
      </c>
    </row>
    <row r="19" spans="2:6" x14ac:dyDescent="0.3">
      <c r="B19" t="s">
        <v>843</v>
      </c>
      <c r="C19" s="44">
        <v>1390</v>
      </c>
      <c r="D19" t="s">
        <v>839</v>
      </c>
      <c r="E19" t="s">
        <v>837</v>
      </c>
      <c r="F19" t="s">
        <v>849</v>
      </c>
    </row>
  </sheetData>
  <sortState xmlns:xlrd2="http://schemas.microsoft.com/office/spreadsheetml/2017/richdata2" ref="B6:G19">
    <sortCondition ref="F6:F19"/>
    <sortCondition descending="1" ref="C6:C19"/>
  </sortState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H7" sqref="H7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74</v>
      </c>
      <c r="B1" s="1" t="s">
        <v>80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39" t="s">
        <v>141</v>
      </c>
      <c r="C4" s="140" t="s">
        <v>850</v>
      </c>
      <c r="D4" s="140" t="s">
        <v>363</v>
      </c>
      <c r="G4" t="s">
        <v>851</v>
      </c>
      <c r="H4">
        <f>COUNT(D5:D13)</f>
        <v>9</v>
      </c>
    </row>
    <row r="5" spans="1:13" x14ac:dyDescent="0.3">
      <c r="B5" s="30">
        <v>43031</v>
      </c>
      <c r="C5" t="s">
        <v>852</v>
      </c>
      <c r="D5">
        <v>100</v>
      </c>
      <c r="G5" t="s">
        <v>853</v>
      </c>
      <c r="H5">
        <f>COUNT(D5:D13)</f>
        <v>9</v>
      </c>
    </row>
    <row r="6" spans="1:13" x14ac:dyDescent="0.3">
      <c r="B6" s="30">
        <v>43031</v>
      </c>
      <c r="C6" t="s">
        <v>854</v>
      </c>
      <c r="D6">
        <v>200</v>
      </c>
      <c r="G6" t="s">
        <v>855</v>
      </c>
      <c r="H6">
        <f>COUNTBLANK(D5:D13)</f>
        <v>0</v>
      </c>
    </row>
    <row r="7" spans="1:13" x14ac:dyDescent="0.3">
      <c r="B7" s="30">
        <v>43032</v>
      </c>
      <c r="C7" t="s">
        <v>856</v>
      </c>
      <c r="D7">
        <v>100</v>
      </c>
      <c r="G7" t="s">
        <v>857</v>
      </c>
    </row>
    <row r="8" spans="1:13" x14ac:dyDescent="0.3">
      <c r="B8" s="30">
        <v>43032</v>
      </c>
      <c r="C8" t="s">
        <v>852</v>
      </c>
      <c r="D8">
        <v>300</v>
      </c>
      <c r="G8" t="s">
        <v>858</v>
      </c>
    </row>
    <row r="9" spans="1:13" x14ac:dyDescent="0.3">
      <c r="B9" s="30">
        <v>43032</v>
      </c>
      <c r="C9" t="s">
        <v>852</v>
      </c>
      <c r="D9">
        <v>700</v>
      </c>
      <c r="G9" t="s">
        <v>859</v>
      </c>
    </row>
    <row r="10" spans="1:13" x14ac:dyDescent="0.3">
      <c r="B10" s="30">
        <v>43031</v>
      </c>
      <c r="C10" t="s">
        <v>856</v>
      </c>
      <c r="D10">
        <v>100</v>
      </c>
      <c r="G10" t="s">
        <v>860</v>
      </c>
    </row>
    <row r="11" spans="1:13" x14ac:dyDescent="0.3">
      <c r="B11" s="30">
        <v>43032</v>
      </c>
      <c r="C11" t="s">
        <v>854</v>
      </c>
      <c r="D11">
        <v>200</v>
      </c>
    </row>
    <row r="12" spans="1:13" x14ac:dyDescent="0.3">
      <c r="B12" s="30">
        <v>43032</v>
      </c>
      <c r="C12" t="s">
        <v>854</v>
      </c>
      <c r="D12">
        <v>500</v>
      </c>
    </row>
    <row r="13" spans="1:13" x14ac:dyDescent="0.3">
      <c r="B13" s="30">
        <v>43031</v>
      </c>
      <c r="C13" t="s">
        <v>854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workbookViewId="0">
      <selection activeCell="P19" sqref="P19"/>
    </sheetView>
  </sheetViews>
  <sheetFormatPr defaultRowHeight="18.75" x14ac:dyDescent="0.3"/>
  <cols>
    <col min="1" max="1" width="12.09765625" bestFit="1" customWidth="1"/>
    <col min="2" max="2" width="12.296875" bestFit="1" customWidth="1"/>
  </cols>
  <sheetData>
    <row r="3" spans="1:2" x14ac:dyDescent="0.3">
      <c r="A3" s="133" t="s">
        <v>861</v>
      </c>
      <c r="B3" t="s">
        <v>862</v>
      </c>
    </row>
    <row r="4" spans="1:2" x14ac:dyDescent="0.3">
      <c r="A4" s="13" t="s">
        <v>863</v>
      </c>
      <c r="B4" s="134">
        <v>110.99999999999999</v>
      </c>
    </row>
    <row r="5" spans="1:2" x14ac:dyDescent="0.3">
      <c r="A5" s="13" t="s">
        <v>371</v>
      </c>
      <c r="B5" s="134">
        <v>397.12000000000006</v>
      </c>
    </row>
    <row r="6" spans="1:2" x14ac:dyDescent="0.3">
      <c r="A6" s="13" t="s">
        <v>864</v>
      </c>
      <c r="B6" s="134">
        <v>341.29999999999995</v>
      </c>
    </row>
    <row r="7" spans="1:2" x14ac:dyDescent="0.3">
      <c r="A7" s="13" t="s">
        <v>670</v>
      </c>
      <c r="B7" s="134">
        <v>167.76000000000002</v>
      </c>
    </row>
    <row r="8" spans="1:2" x14ac:dyDescent="0.3">
      <c r="A8" s="13" t="s">
        <v>667</v>
      </c>
      <c r="B8" s="134">
        <v>379.79999999999995</v>
      </c>
    </row>
    <row r="9" spans="1:2" x14ac:dyDescent="0.3">
      <c r="A9" s="13" t="s">
        <v>865</v>
      </c>
      <c r="B9" s="134">
        <v>369.7</v>
      </c>
    </row>
    <row r="10" spans="1:2" x14ac:dyDescent="0.3">
      <c r="A10" s="13" t="s">
        <v>363</v>
      </c>
      <c r="B10" s="134">
        <v>638.49000000000012</v>
      </c>
    </row>
    <row r="11" spans="1:2" x14ac:dyDescent="0.3">
      <c r="A11" s="13" t="s">
        <v>866</v>
      </c>
      <c r="B11" s="134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P22" sqref="P22"/>
    </sheetView>
  </sheetViews>
  <sheetFormatPr defaultRowHeight="18.75" x14ac:dyDescent="0.3"/>
  <cols>
    <col min="1" max="1" width="12.69921875" bestFit="1" customWidth="1"/>
    <col min="2" max="2" width="12.5" bestFit="1" customWidth="1"/>
  </cols>
  <sheetData>
    <row r="3" spans="1:2" x14ac:dyDescent="0.3">
      <c r="A3" s="133" t="s">
        <v>861</v>
      </c>
      <c r="B3" t="s">
        <v>867</v>
      </c>
    </row>
    <row r="4" spans="1:2" x14ac:dyDescent="0.3">
      <c r="A4" s="13" t="s">
        <v>863</v>
      </c>
      <c r="B4" s="134">
        <v>2204.9299999999998</v>
      </c>
    </row>
    <row r="5" spans="1:2" x14ac:dyDescent="0.3">
      <c r="A5" s="13" t="s">
        <v>371</v>
      </c>
      <c r="B5" s="134">
        <v>14368.039000000001</v>
      </c>
    </row>
    <row r="6" spans="1:2" x14ac:dyDescent="0.3">
      <c r="A6" s="13" t="s">
        <v>864</v>
      </c>
      <c r="B6" s="134">
        <v>8778.9009999999998</v>
      </c>
    </row>
    <row r="7" spans="1:2" x14ac:dyDescent="0.3">
      <c r="A7" s="13" t="s">
        <v>670</v>
      </c>
      <c r="B7" s="134">
        <v>6006.1912000000011</v>
      </c>
    </row>
    <row r="8" spans="1:2" x14ac:dyDescent="0.3">
      <c r="A8" s="13" t="s">
        <v>667</v>
      </c>
      <c r="B8" s="134">
        <v>11048.359999999999</v>
      </c>
    </row>
    <row r="9" spans="1:2" x14ac:dyDescent="0.3">
      <c r="A9" s="13" t="s">
        <v>865</v>
      </c>
      <c r="B9" s="134">
        <v>12055.714</v>
      </c>
    </row>
    <row r="10" spans="1:2" x14ac:dyDescent="0.3">
      <c r="A10" s="13" t="s">
        <v>363</v>
      </c>
      <c r="B10" s="134">
        <v>27282.156799999997</v>
      </c>
    </row>
    <row r="11" spans="1:2" x14ac:dyDescent="0.3">
      <c r="A11" s="13" t="s">
        <v>866</v>
      </c>
      <c r="B11" s="134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4" activePane="bottomLeft" state="frozen"/>
      <selection activeCell="I16" sqref="I16"/>
      <selection pane="bottomLeft" activeCell="E7" sqref="E7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75</v>
      </c>
      <c r="B1" s="147" t="s">
        <v>81</v>
      </c>
      <c r="C1" s="147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A5" s="37" t="s">
        <v>2</v>
      </c>
    </row>
    <row r="7" spans="1:13" x14ac:dyDescent="0.3">
      <c r="C7" s="125" t="s">
        <v>319</v>
      </c>
      <c r="D7" s="125" t="s">
        <v>317</v>
      </c>
      <c r="E7" s="125" t="s">
        <v>664</v>
      </c>
      <c r="F7" s="125" t="s">
        <v>868</v>
      </c>
      <c r="G7" s="125" t="s">
        <v>869</v>
      </c>
      <c r="H7" s="125" t="s">
        <v>870</v>
      </c>
      <c r="I7" s="125" t="s">
        <v>871</v>
      </c>
      <c r="J7" s="125" t="s">
        <v>872</v>
      </c>
      <c r="K7" s="125" t="s">
        <v>873</v>
      </c>
      <c r="L7" s="125" t="s">
        <v>874</v>
      </c>
    </row>
    <row r="8" spans="1:13" x14ac:dyDescent="0.3">
      <c r="C8" t="s">
        <v>875</v>
      </c>
      <c r="D8" t="s">
        <v>876</v>
      </c>
      <c r="E8" t="s">
        <v>865</v>
      </c>
      <c r="F8" t="s">
        <v>877</v>
      </c>
      <c r="G8" s="126">
        <v>80.099999999999994</v>
      </c>
      <c r="H8" s="126">
        <v>44.62</v>
      </c>
      <c r="I8" s="126">
        <f t="shared" ref="I8:I49" si="0">H8*G8</f>
        <v>3574.0619999999994</v>
      </c>
      <c r="J8" t="s">
        <v>878</v>
      </c>
      <c r="K8" t="s">
        <v>879</v>
      </c>
      <c r="L8" t="s">
        <v>880</v>
      </c>
    </row>
    <row r="9" spans="1:13" x14ac:dyDescent="0.3">
      <c r="C9" t="s">
        <v>881</v>
      </c>
      <c r="D9" t="s">
        <v>882</v>
      </c>
      <c r="E9" t="s">
        <v>667</v>
      </c>
      <c r="F9" t="s">
        <v>883</v>
      </c>
      <c r="G9" s="126">
        <v>82.4</v>
      </c>
      <c r="H9" s="126">
        <v>24.54</v>
      </c>
      <c r="I9" s="126">
        <f t="shared" si="0"/>
        <v>2022.096</v>
      </c>
      <c r="J9" t="s">
        <v>878</v>
      </c>
      <c r="K9" t="s">
        <v>879</v>
      </c>
      <c r="L9" t="s">
        <v>880</v>
      </c>
    </row>
    <row r="10" spans="1:13" x14ac:dyDescent="0.3">
      <c r="C10" t="s">
        <v>884</v>
      </c>
      <c r="D10" t="s">
        <v>885</v>
      </c>
      <c r="E10" t="s">
        <v>363</v>
      </c>
      <c r="F10" t="s">
        <v>877</v>
      </c>
      <c r="G10" s="126">
        <v>39.9</v>
      </c>
      <c r="H10" s="126">
        <v>41.66</v>
      </c>
      <c r="I10" s="126">
        <f t="shared" si="0"/>
        <v>1662.2339999999997</v>
      </c>
      <c r="J10" t="s">
        <v>886</v>
      </c>
      <c r="K10" t="s">
        <v>887</v>
      </c>
      <c r="L10" t="s">
        <v>880</v>
      </c>
    </row>
    <row r="11" spans="1:13" x14ac:dyDescent="0.3">
      <c r="C11" t="s">
        <v>888</v>
      </c>
      <c r="D11" t="s">
        <v>889</v>
      </c>
      <c r="E11" t="s">
        <v>363</v>
      </c>
      <c r="F11" t="s">
        <v>890</v>
      </c>
      <c r="G11" s="126">
        <v>32.4</v>
      </c>
      <c r="H11" s="126">
        <v>14.37</v>
      </c>
      <c r="I11" s="126">
        <f t="shared" si="0"/>
        <v>465.58799999999997</v>
      </c>
      <c r="J11" t="s">
        <v>878</v>
      </c>
      <c r="K11" t="s">
        <v>887</v>
      </c>
      <c r="L11" t="s">
        <v>891</v>
      </c>
    </row>
    <row r="12" spans="1:13" x14ac:dyDescent="0.3">
      <c r="C12" t="s">
        <v>892</v>
      </c>
      <c r="D12" t="s">
        <v>893</v>
      </c>
      <c r="E12" t="s">
        <v>864</v>
      </c>
      <c r="F12" t="s">
        <v>894</v>
      </c>
      <c r="G12" s="126">
        <v>84.6</v>
      </c>
      <c r="H12" s="126">
        <v>29.76</v>
      </c>
      <c r="I12" s="126">
        <f t="shared" si="0"/>
        <v>2517.6959999999999</v>
      </c>
      <c r="J12" t="s">
        <v>878</v>
      </c>
      <c r="K12" t="s">
        <v>887</v>
      </c>
      <c r="L12" t="s">
        <v>891</v>
      </c>
    </row>
    <row r="13" spans="1:13" x14ac:dyDescent="0.3">
      <c r="C13" t="s">
        <v>892</v>
      </c>
      <c r="D13" t="s">
        <v>893</v>
      </c>
      <c r="E13" t="s">
        <v>864</v>
      </c>
      <c r="F13" t="s">
        <v>894</v>
      </c>
      <c r="G13" s="126">
        <v>84.6</v>
      </c>
      <c r="H13" s="126">
        <v>29.76</v>
      </c>
      <c r="I13" s="126">
        <f t="shared" si="0"/>
        <v>2517.6959999999999</v>
      </c>
      <c r="J13" t="s">
        <v>878</v>
      </c>
      <c r="K13" t="s">
        <v>887</v>
      </c>
      <c r="L13" t="s">
        <v>891</v>
      </c>
    </row>
    <row r="14" spans="1:13" x14ac:dyDescent="0.3">
      <c r="C14" t="s">
        <v>895</v>
      </c>
      <c r="D14" t="s">
        <v>896</v>
      </c>
      <c r="E14" t="s">
        <v>670</v>
      </c>
      <c r="F14" t="s">
        <v>883</v>
      </c>
      <c r="G14" s="126">
        <v>16.2</v>
      </c>
      <c r="H14" s="126">
        <v>33.04</v>
      </c>
      <c r="I14" s="126">
        <f t="shared" si="0"/>
        <v>535.24799999999993</v>
      </c>
      <c r="J14" t="s">
        <v>878</v>
      </c>
      <c r="K14" t="s">
        <v>879</v>
      </c>
      <c r="L14" t="s">
        <v>891</v>
      </c>
    </row>
    <row r="15" spans="1:13" x14ac:dyDescent="0.3">
      <c r="C15" t="s">
        <v>897</v>
      </c>
      <c r="D15" t="s">
        <v>898</v>
      </c>
      <c r="E15" t="s">
        <v>863</v>
      </c>
      <c r="F15" t="s">
        <v>894</v>
      </c>
      <c r="G15" s="126">
        <v>40</v>
      </c>
      <c r="H15" s="126">
        <v>17.88</v>
      </c>
      <c r="I15" s="126">
        <f t="shared" si="0"/>
        <v>715.19999999999993</v>
      </c>
      <c r="J15" t="s">
        <v>886</v>
      </c>
      <c r="K15" t="s">
        <v>887</v>
      </c>
      <c r="L15" t="s">
        <v>880</v>
      </c>
    </row>
    <row r="16" spans="1:13" x14ac:dyDescent="0.3">
      <c r="C16" t="s">
        <v>899</v>
      </c>
      <c r="D16" t="s">
        <v>898</v>
      </c>
      <c r="E16" t="s">
        <v>371</v>
      </c>
      <c r="F16" t="s">
        <v>877</v>
      </c>
      <c r="G16" s="126">
        <v>33.200000000000003</v>
      </c>
      <c r="H16" s="126">
        <v>24.05</v>
      </c>
      <c r="I16" s="126">
        <f t="shared" si="0"/>
        <v>798.46</v>
      </c>
      <c r="J16" t="s">
        <v>878</v>
      </c>
      <c r="K16" t="s">
        <v>879</v>
      </c>
      <c r="L16" t="s">
        <v>880</v>
      </c>
    </row>
    <row r="17" spans="3:12" x14ac:dyDescent="0.3">
      <c r="C17" t="s">
        <v>900</v>
      </c>
      <c r="D17" t="s">
        <v>901</v>
      </c>
      <c r="E17" t="s">
        <v>667</v>
      </c>
      <c r="F17" t="s">
        <v>890</v>
      </c>
      <c r="G17" s="126">
        <v>87.6</v>
      </c>
      <c r="H17" s="126">
        <v>23</v>
      </c>
      <c r="I17" s="126">
        <f t="shared" si="0"/>
        <v>2014.8</v>
      </c>
      <c r="J17" t="s">
        <v>886</v>
      </c>
      <c r="K17" t="s">
        <v>879</v>
      </c>
      <c r="L17" t="s">
        <v>880</v>
      </c>
    </row>
    <row r="18" spans="3:12" x14ac:dyDescent="0.3">
      <c r="C18" t="s">
        <v>902</v>
      </c>
      <c r="D18" t="s">
        <v>903</v>
      </c>
      <c r="E18" t="s">
        <v>363</v>
      </c>
      <c r="F18" t="s">
        <v>894</v>
      </c>
      <c r="G18" s="126">
        <v>95</v>
      </c>
      <c r="H18" s="126">
        <v>48.63</v>
      </c>
      <c r="I18" s="126">
        <f t="shared" si="0"/>
        <v>4619.8500000000004</v>
      </c>
      <c r="J18" t="s">
        <v>878</v>
      </c>
      <c r="K18" t="s">
        <v>879</v>
      </c>
      <c r="L18" t="s">
        <v>891</v>
      </c>
    </row>
    <row r="19" spans="3:12" x14ac:dyDescent="0.3">
      <c r="C19" t="s">
        <v>902</v>
      </c>
      <c r="D19" t="s">
        <v>903</v>
      </c>
      <c r="E19" t="s">
        <v>363</v>
      </c>
      <c r="F19" t="s">
        <v>894</v>
      </c>
      <c r="G19" s="126">
        <v>95</v>
      </c>
      <c r="H19" s="126">
        <v>48.63</v>
      </c>
      <c r="I19" s="126">
        <f t="shared" si="0"/>
        <v>4619.8500000000004</v>
      </c>
      <c r="J19" t="s">
        <v>878</v>
      </c>
      <c r="K19" t="s">
        <v>879</v>
      </c>
      <c r="L19" t="s">
        <v>891</v>
      </c>
    </row>
    <row r="20" spans="3:12" x14ac:dyDescent="0.3">
      <c r="C20" t="s">
        <v>904</v>
      </c>
      <c r="D20" t="s">
        <v>905</v>
      </c>
      <c r="E20" t="s">
        <v>363</v>
      </c>
      <c r="F20" t="s">
        <v>906</v>
      </c>
      <c r="G20" s="126">
        <v>78.400000000000006</v>
      </c>
      <c r="H20" s="126">
        <v>44.98</v>
      </c>
      <c r="I20" s="126">
        <f t="shared" si="0"/>
        <v>3526.4319999999998</v>
      </c>
      <c r="J20" t="s">
        <v>886</v>
      </c>
      <c r="K20" t="s">
        <v>879</v>
      </c>
      <c r="L20" t="s">
        <v>891</v>
      </c>
    </row>
    <row r="21" spans="3:12" x14ac:dyDescent="0.3">
      <c r="C21" t="s">
        <v>907</v>
      </c>
      <c r="D21" t="s">
        <v>908</v>
      </c>
      <c r="E21" t="s">
        <v>363</v>
      </c>
      <c r="F21" t="s">
        <v>909</v>
      </c>
      <c r="G21" s="126">
        <v>10.199999999999999</v>
      </c>
      <c r="H21" s="126">
        <v>23.74</v>
      </c>
      <c r="I21" s="126">
        <f t="shared" si="0"/>
        <v>242.14799999999997</v>
      </c>
      <c r="J21" t="s">
        <v>878</v>
      </c>
      <c r="K21" t="s">
        <v>887</v>
      </c>
      <c r="L21" t="s">
        <v>880</v>
      </c>
    </row>
    <row r="22" spans="3:12" x14ac:dyDescent="0.3">
      <c r="C22" t="s">
        <v>910</v>
      </c>
      <c r="D22" t="s">
        <v>911</v>
      </c>
      <c r="E22" t="s">
        <v>864</v>
      </c>
      <c r="F22" t="s">
        <v>894</v>
      </c>
      <c r="G22" s="126">
        <v>13.2</v>
      </c>
      <c r="H22" s="126">
        <v>12.06</v>
      </c>
      <c r="I22" s="126">
        <f t="shared" si="0"/>
        <v>159.19200000000001</v>
      </c>
      <c r="J22" t="s">
        <v>878</v>
      </c>
      <c r="K22" t="s">
        <v>887</v>
      </c>
      <c r="L22" t="s">
        <v>891</v>
      </c>
    </row>
    <row r="23" spans="3:12" x14ac:dyDescent="0.3">
      <c r="C23" t="s">
        <v>912</v>
      </c>
      <c r="D23" t="s">
        <v>911</v>
      </c>
      <c r="E23" t="s">
        <v>667</v>
      </c>
      <c r="F23" t="s">
        <v>877</v>
      </c>
      <c r="G23" s="126">
        <v>70.599999999999994</v>
      </c>
      <c r="H23" s="126">
        <v>20.84</v>
      </c>
      <c r="I23" s="126">
        <f t="shared" si="0"/>
        <v>1471.3039999999999</v>
      </c>
      <c r="J23" t="s">
        <v>878</v>
      </c>
      <c r="K23" t="s">
        <v>887</v>
      </c>
      <c r="L23" t="s">
        <v>880</v>
      </c>
    </row>
    <row r="24" spans="3:12" x14ac:dyDescent="0.3">
      <c r="C24" t="s">
        <v>913</v>
      </c>
      <c r="D24" t="s">
        <v>914</v>
      </c>
      <c r="E24" t="s">
        <v>863</v>
      </c>
      <c r="F24" t="s">
        <v>883</v>
      </c>
      <c r="G24" s="126">
        <v>26.6</v>
      </c>
      <c r="H24" s="126">
        <v>15.99</v>
      </c>
      <c r="I24" s="126">
        <f t="shared" si="0"/>
        <v>425.334</v>
      </c>
      <c r="J24" t="s">
        <v>886</v>
      </c>
      <c r="K24" t="s">
        <v>887</v>
      </c>
      <c r="L24" t="s">
        <v>891</v>
      </c>
    </row>
    <row r="25" spans="3:12" x14ac:dyDescent="0.3">
      <c r="C25" t="s">
        <v>915</v>
      </c>
      <c r="D25" t="s">
        <v>498</v>
      </c>
      <c r="E25" t="s">
        <v>864</v>
      </c>
      <c r="F25" t="s">
        <v>909</v>
      </c>
      <c r="G25" s="126">
        <v>80.400000000000006</v>
      </c>
      <c r="H25" s="126">
        <v>16.53</v>
      </c>
      <c r="I25" s="126">
        <f t="shared" si="0"/>
        <v>1329.0120000000002</v>
      </c>
      <c r="J25" t="s">
        <v>886</v>
      </c>
      <c r="K25" t="s">
        <v>879</v>
      </c>
      <c r="L25" t="s">
        <v>880</v>
      </c>
    </row>
    <row r="26" spans="3:12" x14ac:dyDescent="0.3">
      <c r="C26" t="s">
        <v>916</v>
      </c>
      <c r="D26" t="s">
        <v>917</v>
      </c>
      <c r="E26" t="s">
        <v>667</v>
      </c>
      <c r="F26" t="s">
        <v>906</v>
      </c>
      <c r="G26" s="126">
        <v>46.4</v>
      </c>
      <c r="H26" s="126">
        <v>40.799999999999997</v>
      </c>
      <c r="I26" s="126">
        <f t="shared" si="0"/>
        <v>1893.12</v>
      </c>
      <c r="J26" t="s">
        <v>886</v>
      </c>
      <c r="K26" t="s">
        <v>887</v>
      </c>
      <c r="L26" t="s">
        <v>891</v>
      </c>
    </row>
    <row r="27" spans="3:12" x14ac:dyDescent="0.3">
      <c r="C27" t="s">
        <v>916</v>
      </c>
      <c r="D27" t="s">
        <v>917</v>
      </c>
      <c r="E27" t="s">
        <v>667</v>
      </c>
      <c r="F27" t="s">
        <v>906</v>
      </c>
      <c r="G27" s="126">
        <v>46.4</v>
      </c>
      <c r="H27" s="126">
        <v>39.799999999999997</v>
      </c>
      <c r="I27" s="126">
        <f t="shared" si="0"/>
        <v>1846.7199999999998</v>
      </c>
      <c r="J27" t="s">
        <v>886</v>
      </c>
      <c r="K27" t="s">
        <v>887</v>
      </c>
      <c r="L27" t="s">
        <v>891</v>
      </c>
    </row>
    <row r="28" spans="3:12" x14ac:dyDescent="0.3">
      <c r="C28" t="s">
        <v>916</v>
      </c>
      <c r="D28" t="s">
        <v>917</v>
      </c>
      <c r="E28" t="s">
        <v>667</v>
      </c>
      <c r="F28" t="s">
        <v>906</v>
      </c>
      <c r="G28" s="126">
        <v>46.4</v>
      </c>
      <c r="H28" s="126">
        <v>38.799999999999997</v>
      </c>
      <c r="I28" s="126">
        <f t="shared" si="0"/>
        <v>1800.3199999999997</v>
      </c>
      <c r="J28" t="s">
        <v>886</v>
      </c>
      <c r="K28" t="s">
        <v>887</v>
      </c>
      <c r="L28" t="s">
        <v>891</v>
      </c>
    </row>
    <row r="29" spans="3:12" x14ac:dyDescent="0.3">
      <c r="C29" t="s">
        <v>918</v>
      </c>
      <c r="D29" t="s">
        <v>919</v>
      </c>
      <c r="E29" t="s">
        <v>864</v>
      </c>
      <c r="F29" t="s">
        <v>894</v>
      </c>
      <c r="G29" s="126">
        <v>78.5</v>
      </c>
      <c r="H29" s="126">
        <v>28.73</v>
      </c>
      <c r="I29" s="126">
        <f t="shared" si="0"/>
        <v>2255.3049999999998</v>
      </c>
      <c r="J29" t="s">
        <v>878</v>
      </c>
      <c r="K29" t="s">
        <v>887</v>
      </c>
      <c r="L29" t="s">
        <v>880</v>
      </c>
    </row>
    <row r="30" spans="3:12" x14ac:dyDescent="0.3">
      <c r="C30" t="s">
        <v>920</v>
      </c>
      <c r="D30" t="s">
        <v>921</v>
      </c>
      <c r="E30" t="s">
        <v>865</v>
      </c>
      <c r="F30" t="s">
        <v>906</v>
      </c>
      <c r="G30" s="126">
        <v>59.1</v>
      </c>
      <c r="H30" s="126">
        <v>34.83</v>
      </c>
      <c r="I30" s="126">
        <f t="shared" si="0"/>
        <v>2058.453</v>
      </c>
      <c r="J30" t="s">
        <v>886</v>
      </c>
      <c r="K30" t="s">
        <v>879</v>
      </c>
      <c r="L30" t="s">
        <v>891</v>
      </c>
    </row>
    <row r="31" spans="3:12" x14ac:dyDescent="0.3">
      <c r="C31" t="s">
        <v>922</v>
      </c>
      <c r="D31" t="s">
        <v>923</v>
      </c>
      <c r="E31" t="s">
        <v>865</v>
      </c>
      <c r="F31" t="s">
        <v>909</v>
      </c>
      <c r="G31" s="126">
        <v>22.5</v>
      </c>
      <c r="H31" s="126">
        <v>11.51</v>
      </c>
      <c r="I31" s="126">
        <f t="shared" si="0"/>
        <v>258.97500000000002</v>
      </c>
      <c r="J31" t="s">
        <v>878</v>
      </c>
      <c r="K31" t="s">
        <v>887</v>
      </c>
      <c r="L31" t="s">
        <v>891</v>
      </c>
    </row>
    <row r="32" spans="3:12" x14ac:dyDescent="0.3">
      <c r="C32" t="s">
        <v>924</v>
      </c>
      <c r="D32" t="s">
        <v>925</v>
      </c>
      <c r="E32" t="s">
        <v>863</v>
      </c>
      <c r="F32" t="s">
        <v>890</v>
      </c>
      <c r="G32" s="126">
        <v>15.1</v>
      </c>
      <c r="H32" s="126">
        <v>45.09</v>
      </c>
      <c r="I32" s="126">
        <f t="shared" si="0"/>
        <v>680.85900000000004</v>
      </c>
      <c r="J32" t="s">
        <v>878</v>
      </c>
      <c r="K32" t="s">
        <v>879</v>
      </c>
      <c r="L32" t="s">
        <v>891</v>
      </c>
    </row>
    <row r="33" spans="3:12" x14ac:dyDescent="0.3">
      <c r="C33" t="s">
        <v>926</v>
      </c>
      <c r="D33" t="s">
        <v>927</v>
      </c>
      <c r="E33" t="s">
        <v>670</v>
      </c>
      <c r="F33" t="s">
        <v>928</v>
      </c>
      <c r="G33" s="126">
        <v>52.36</v>
      </c>
      <c r="H33" s="126">
        <v>64.37</v>
      </c>
      <c r="I33" s="126">
        <f t="shared" si="0"/>
        <v>3370.4132000000004</v>
      </c>
      <c r="J33" t="s">
        <v>878</v>
      </c>
      <c r="K33" t="s">
        <v>887</v>
      </c>
      <c r="L33" t="s">
        <v>880</v>
      </c>
    </row>
    <row r="34" spans="3:12" x14ac:dyDescent="0.3">
      <c r="C34" t="s">
        <v>929</v>
      </c>
      <c r="D34" t="s">
        <v>930</v>
      </c>
      <c r="E34" t="s">
        <v>865</v>
      </c>
      <c r="F34" t="s">
        <v>890</v>
      </c>
      <c r="G34" s="126">
        <v>97.2</v>
      </c>
      <c r="H34" s="126">
        <v>30.3</v>
      </c>
      <c r="I34" s="126">
        <f t="shared" si="0"/>
        <v>2945.1600000000003</v>
      </c>
      <c r="J34" t="s">
        <v>878</v>
      </c>
      <c r="K34" t="s">
        <v>879</v>
      </c>
      <c r="L34" t="s">
        <v>891</v>
      </c>
    </row>
    <row r="35" spans="3:12" x14ac:dyDescent="0.3">
      <c r="C35" t="s">
        <v>929</v>
      </c>
      <c r="D35" t="s">
        <v>930</v>
      </c>
      <c r="E35" t="s">
        <v>865</v>
      </c>
      <c r="F35" t="s">
        <v>890</v>
      </c>
      <c r="G35" s="126">
        <v>97.2</v>
      </c>
      <c r="H35" s="126">
        <v>30.3</v>
      </c>
      <c r="I35" s="126">
        <f t="shared" si="0"/>
        <v>2945.1600000000003</v>
      </c>
      <c r="J35" t="s">
        <v>878</v>
      </c>
      <c r="K35" t="s">
        <v>879</v>
      </c>
      <c r="L35" t="s">
        <v>891</v>
      </c>
    </row>
    <row r="36" spans="3:12" x14ac:dyDescent="0.3">
      <c r="C36" t="s">
        <v>931</v>
      </c>
      <c r="D36" t="s">
        <v>932</v>
      </c>
      <c r="E36" t="s">
        <v>371</v>
      </c>
      <c r="F36" t="s">
        <v>894</v>
      </c>
      <c r="G36" s="126">
        <v>59.6</v>
      </c>
      <c r="H36" s="126">
        <v>39.97</v>
      </c>
      <c r="I36" s="126">
        <f t="shared" si="0"/>
        <v>2382.212</v>
      </c>
      <c r="J36" t="s">
        <v>878</v>
      </c>
      <c r="K36" t="s">
        <v>887</v>
      </c>
      <c r="L36" t="s">
        <v>880</v>
      </c>
    </row>
    <row r="37" spans="3:12" x14ac:dyDescent="0.3">
      <c r="C37" t="s">
        <v>933</v>
      </c>
      <c r="D37" t="s">
        <v>934</v>
      </c>
      <c r="E37" t="s">
        <v>363</v>
      </c>
      <c r="F37" t="s">
        <v>928</v>
      </c>
      <c r="G37" s="126">
        <v>64.290000000000006</v>
      </c>
      <c r="H37" s="126">
        <v>75.12</v>
      </c>
      <c r="I37" s="126">
        <f t="shared" si="0"/>
        <v>4829.4648000000007</v>
      </c>
      <c r="J37" t="s">
        <v>878</v>
      </c>
      <c r="K37" t="s">
        <v>879</v>
      </c>
      <c r="L37" t="s">
        <v>880</v>
      </c>
    </row>
    <row r="38" spans="3:12" x14ac:dyDescent="0.3">
      <c r="C38" t="s">
        <v>935</v>
      </c>
      <c r="D38" t="s">
        <v>936</v>
      </c>
      <c r="E38" t="s">
        <v>670</v>
      </c>
      <c r="F38" t="s">
        <v>894</v>
      </c>
      <c r="G38" s="126">
        <v>87.3</v>
      </c>
      <c r="H38" s="126">
        <v>19.68</v>
      </c>
      <c r="I38" s="126">
        <f t="shared" si="0"/>
        <v>1718.0639999999999</v>
      </c>
      <c r="J38" t="s">
        <v>886</v>
      </c>
      <c r="K38" t="s">
        <v>879</v>
      </c>
      <c r="L38" t="s">
        <v>891</v>
      </c>
    </row>
    <row r="39" spans="3:12" x14ac:dyDescent="0.3">
      <c r="C39" t="s">
        <v>937</v>
      </c>
      <c r="D39" t="s">
        <v>938</v>
      </c>
      <c r="E39" t="s">
        <v>670</v>
      </c>
      <c r="F39" t="s">
        <v>906</v>
      </c>
      <c r="G39" s="126">
        <v>11.9</v>
      </c>
      <c r="H39" s="126">
        <v>32.14</v>
      </c>
      <c r="I39" s="126">
        <f t="shared" si="0"/>
        <v>382.46600000000001</v>
      </c>
      <c r="J39" t="s">
        <v>878</v>
      </c>
      <c r="K39" t="s">
        <v>887</v>
      </c>
      <c r="L39" t="s">
        <v>891</v>
      </c>
    </row>
    <row r="40" spans="3:12" x14ac:dyDescent="0.3">
      <c r="C40" t="s">
        <v>939</v>
      </c>
      <c r="D40" t="s">
        <v>940</v>
      </c>
      <c r="E40" t="s">
        <v>371</v>
      </c>
      <c r="F40" t="s">
        <v>883</v>
      </c>
      <c r="G40" s="126">
        <v>96.3</v>
      </c>
      <c r="H40" s="126">
        <v>35.92</v>
      </c>
      <c r="I40" s="126">
        <f t="shared" si="0"/>
        <v>3459.096</v>
      </c>
      <c r="J40" t="s">
        <v>886</v>
      </c>
      <c r="K40" t="s">
        <v>879</v>
      </c>
      <c r="L40" t="s">
        <v>880</v>
      </c>
    </row>
    <row r="41" spans="3:12" x14ac:dyDescent="0.3">
      <c r="C41" t="s">
        <v>939</v>
      </c>
      <c r="D41" t="s">
        <v>940</v>
      </c>
      <c r="E41" t="s">
        <v>371</v>
      </c>
      <c r="F41" t="s">
        <v>883</v>
      </c>
      <c r="G41" s="126">
        <v>96.3</v>
      </c>
      <c r="H41" s="126">
        <v>35.92</v>
      </c>
      <c r="I41" s="126">
        <f t="shared" si="0"/>
        <v>3459.096</v>
      </c>
      <c r="J41" t="s">
        <v>886</v>
      </c>
      <c r="K41" t="s">
        <v>879</v>
      </c>
      <c r="L41" t="s">
        <v>880</v>
      </c>
    </row>
    <row r="42" spans="3:12" x14ac:dyDescent="0.3">
      <c r="C42" t="s">
        <v>941</v>
      </c>
      <c r="D42" t="s">
        <v>942</v>
      </c>
      <c r="E42" t="s">
        <v>865</v>
      </c>
      <c r="F42" t="s">
        <v>877</v>
      </c>
      <c r="G42" s="126">
        <v>13.6</v>
      </c>
      <c r="H42" s="126">
        <v>20.14</v>
      </c>
      <c r="I42" s="126">
        <f t="shared" si="0"/>
        <v>273.904</v>
      </c>
      <c r="J42" t="s">
        <v>878</v>
      </c>
      <c r="K42" t="s">
        <v>887</v>
      </c>
      <c r="L42" t="s">
        <v>891</v>
      </c>
    </row>
    <row r="43" spans="3:12" x14ac:dyDescent="0.3">
      <c r="C43" t="s">
        <v>943</v>
      </c>
      <c r="D43" t="s">
        <v>942</v>
      </c>
      <c r="E43" t="s">
        <v>363</v>
      </c>
      <c r="F43" t="s">
        <v>909</v>
      </c>
      <c r="G43" s="126">
        <v>68.599999999999994</v>
      </c>
      <c r="H43" s="126">
        <v>23.74</v>
      </c>
      <c r="I43" s="126">
        <f t="shared" si="0"/>
        <v>1628.5639999999999</v>
      </c>
      <c r="J43" t="s">
        <v>886</v>
      </c>
      <c r="K43" t="s">
        <v>879</v>
      </c>
      <c r="L43" t="s">
        <v>880</v>
      </c>
    </row>
    <row r="44" spans="3:12" x14ac:dyDescent="0.3">
      <c r="C44" t="s">
        <v>943</v>
      </c>
      <c r="D44" t="s">
        <v>942</v>
      </c>
      <c r="E44" t="s">
        <v>363</v>
      </c>
      <c r="F44" t="s">
        <v>909</v>
      </c>
      <c r="G44" s="126">
        <v>68.599999999999994</v>
      </c>
      <c r="H44" s="126">
        <v>23.74</v>
      </c>
      <c r="I44" s="126">
        <f t="shared" si="0"/>
        <v>1628.5639999999999</v>
      </c>
      <c r="J44" t="s">
        <v>886</v>
      </c>
      <c r="K44" t="s">
        <v>879</v>
      </c>
      <c r="L44" t="s">
        <v>880</v>
      </c>
    </row>
    <row r="45" spans="3:12" x14ac:dyDescent="0.3">
      <c r="C45" t="s">
        <v>944</v>
      </c>
      <c r="D45" t="s">
        <v>945</v>
      </c>
      <c r="E45" t="s">
        <v>863</v>
      </c>
      <c r="F45" t="s">
        <v>906</v>
      </c>
      <c r="G45" s="126">
        <v>29.3</v>
      </c>
      <c r="H45" s="126">
        <v>13.09</v>
      </c>
      <c r="I45" s="126">
        <f t="shared" si="0"/>
        <v>383.53699999999998</v>
      </c>
      <c r="J45" t="s">
        <v>878</v>
      </c>
      <c r="K45" t="s">
        <v>879</v>
      </c>
      <c r="L45" t="s">
        <v>891</v>
      </c>
    </row>
    <row r="46" spans="3:12" x14ac:dyDescent="0.3">
      <c r="C46" t="s">
        <v>946</v>
      </c>
      <c r="D46" t="s">
        <v>947</v>
      </c>
      <c r="E46" t="s">
        <v>371</v>
      </c>
      <c r="F46" t="s">
        <v>877</v>
      </c>
      <c r="G46" s="126">
        <v>26.42</v>
      </c>
      <c r="H46" s="126">
        <v>83.65</v>
      </c>
      <c r="I46" s="126">
        <f t="shared" si="0"/>
        <v>2210.0330000000004</v>
      </c>
      <c r="J46" t="s">
        <v>878</v>
      </c>
      <c r="K46" t="s">
        <v>887</v>
      </c>
      <c r="L46" t="s">
        <v>891</v>
      </c>
    </row>
    <row r="47" spans="3:12" x14ac:dyDescent="0.3">
      <c r="C47" t="s">
        <v>948</v>
      </c>
      <c r="D47" t="s">
        <v>949</v>
      </c>
      <c r="E47" t="s">
        <v>363</v>
      </c>
      <c r="F47" t="s">
        <v>894</v>
      </c>
      <c r="G47" s="126">
        <v>23.2</v>
      </c>
      <c r="H47" s="126">
        <v>45.11</v>
      </c>
      <c r="I47" s="126">
        <f t="shared" si="0"/>
        <v>1046.5519999999999</v>
      </c>
      <c r="J47" t="s">
        <v>886</v>
      </c>
      <c r="K47" t="s">
        <v>887</v>
      </c>
      <c r="L47" t="s">
        <v>880</v>
      </c>
    </row>
    <row r="48" spans="3:12" x14ac:dyDescent="0.3">
      <c r="C48" t="s">
        <v>950</v>
      </c>
      <c r="D48" t="s">
        <v>951</v>
      </c>
      <c r="E48" t="s">
        <v>363</v>
      </c>
      <c r="F48" t="s">
        <v>906</v>
      </c>
      <c r="G48" s="126">
        <v>62.9</v>
      </c>
      <c r="H48" s="126">
        <v>47.9</v>
      </c>
      <c r="I48" s="126">
        <f t="shared" si="0"/>
        <v>3012.91</v>
      </c>
      <c r="J48" t="s">
        <v>878</v>
      </c>
      <c r="K48" t="s">
        <v>887</v>
      </c>
      <c r="L48" t="s">
        <v>891</v>
      </c>
    </row>
    <row r="49" spans="3:12" x14ac:dyDescent="0.3">
      <c r="C49" t="s">
        <v>952</v>
      </c>
      <c r="D49" t="s">
        <v>953</v>
      </c>
      <c r="E49" t="s">
        <v>371</v>
      </c>
      <c r="F49" t="s">
        <v>906</v>
      </c>
      <c r="G49" s="126">
        <v>85.3</v>
      </c>
      <c r="H49" s="126">
        <v>24.14</v>
      </c>
      <c r="I49" s="126">
        <f t="shared" si="0"/>
        <v>2059.1419999999998</v>
      </c>
      <c r="J49" t="s">
        <v>878</v>
      </c>
      <c r="K49" t="s">
        <v>887</v>
      </c>
      <c r="L49" t="s">
        <v>880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03998-69C0-449C-BE35-7FFD9C09C395}">
  <dimension ref="A3:M14"/>
  <sheetViews>
    <sheetView workbookViewId="0">
      <selection activeCell="A3" sqref="A3"/>
    </sheetView>
  </sheetViews>
  <sheetFormatPr defaultRowHeight="18.75" x14ac:dyDescent="0.3"/>
  <cols>
    <col min="1" max="1" width="13.09765625" bestFit="1" customWidth="1"/>
    <col min="2" max="2" width="8.59765625" bestFit="1" customWidth="1"/>
    <col min="3" max="3" width="6.8984375" bestFit="1" customWidth="1"/>
    <col min="4" max="5" width="5.8984375" bestFit="1" customWidth="1"/>
    <col min="6" max="6" width="15.796875" bestFit="1" customWidth="1"/>
    <col min="7" max="7" width="13.09765625" bestFit="1" customWidth="1"/>
    <col min="8" max="8" width="15.796875" bestFit="1" customWidth="1"/>
  </cols>
  <sheetData>
    <row r="3" spans="1:13" x14ac:dyDescent="0.3">
      <c r="A3" s="133" t="s">
        <v>1018</v>
      </c>
      <c r="B3" s="133" t="s">
        <v>84</v>
      </c>
    </row>
    <row r="4" spans="1:13" x14ac:dyDescent="0.3">
      <c r="A4" s="133" t="s">
        <v>357</v>
      </c>
      <c r="B4" t="s">
        <v>90</v>
      </c>
      <c r="C4" t="s">
        <v>422</v>
      </c>
      <c r="D4" t="s">
        <v>506</v>
      </c>
      <c r="E4" t="s">
        <v>547</v>
      </c>
      <c r="I4" s="133" t="s">
        <v>1019</v>
      </c>
      <c r="J4" s="133" t="s">
        <v>84</v>
      </c>
    </row>
    <row r="5" spans="1:13" x14ac:dyDescent="0.3">
      <c r="A5" t="s">
        <v>375</v>
      </c>
      <c r="B5" s="160">
        <v>41125</v>
      </c>
      <c r="C5" s="160">
        <v>78050</v>
      </c>
      <c r="D5" s="160">
        <v>26250</v>
      </c>
      <c r="E5" s="160">
        <v>15750</v>
      </c>
      <c r="I5" s="133" t="s">
        <v>357</v>
      </c>
      <c r="J5" t="s">
        <v>90</v>
      </c>
      <c r="K5" t="s">
        <v>422</v>
      </c>
      <c r="L5" t="s">
        <v>506</v>
      </c>
      <c r="M5" t="s">
        <v>547</v>
      </c>
    </row>
    <row r="6" spans="1:13" x14ac:dyDescent="0.3">
      <c r="A6" t="s">
        <v>397</v>
      </c>
      <c r="B6" s="160">
        <v>49000</v>
      </c>
      <c r="C6" s="160">
        <v>94325</v>
      </c>
      <c r="D6" s="160">
        <v>49000</v>
      </c>
      <c r="E6" s="160">
        <v>49000</v>
      </c>
      <c r="I6" t="s">
        <v>375</v>
      </c>
      <c r="J6" s="160">
        <v>133</v>
      </c>
      <c r="K6" s="160">
        <v>155</v>
      </c>
      <c r="L6" s="160">
        <v>62</v>
      </c>
      <c r="M6" s="160">
        <v>18</v>
      </c>
    </row>
    <row r="7" spans="1:13" x14ac:dyDescent="0.3">
      <c r="A7" t="s">
        <v>508</v>
      </c>
      <c r="B7" s="160"/>
      <c r="C7" s="160"/>
      <c r="D7" s="160">
        <v>49000</v>
      </c>
      <c r="E7" s="160"/>
      <c r="I7" t="s">
        <v>397</v>
      </c>
      <c r="J7" s="160">
        <v>174</v>
      </c>
      <c r="K7" s="160">
        <v>459</v>
      </c>
      <c r="L7" s="160">
        <v>162</v>
      </c>
      <c r="M7" s="160">
        <v>177</v>
      </c>
    </row>
    <row r="8" spans="1:13" x14ac:dyDescent="0.3">
      <c r="A8" t="s">
        <v>371</v>
      </c>
      <c r="B8" s="160">
        <v>19250</v>
      </c>
      <c r="C8" s="160">
        <v>49000</v>
      </c>
      <c r="D8" s="160">
        <v>32375</v>
      </c>
      <c r="E8" s="160">
        <v>25375</v>
      </c>
      <c r="I8" t="s">
        <v>508</v>
      </c>
      <c r="J8" s="160"/>
      <c r="K8" s="160"/>
      <c r="L8" s="160">
        <v>14</v>
      </c>
      <c r="M8" s="160"/>
    </row>
    <row r="9" spans="1:13" x14ac:dyDescent="0.3">
      <c r="A9" t="s">
        <v>954</v>
      </c>
      <c r="B9" s="160">
        <v>17500</v>
      </c>
      <c r="C9" s="160"/>
      <c r="D9" s="160"/>
      <c r="E9" s="160"/>
      <c r="I9" t="s">
        <v>371</v>
      </c>
      <c r="J9" s="160">
        <v>13</v>
      </c>
      <c r="K9" s="160">
        <v>77</v>
      </c>
      <c r="L9" s="160">
        <v>137</v>
      </c>
      <c r="M9" s="160">
        <v>110</v>
      </c>
    </row>
    <row r="10" spans="1:13" x14ac:dyDescent="0.3">
      <c r="A10" t="s">
        <v>367</v>
      </c>
      <c r="B10" s="160">
        <v>54950</v>
      </c>
      <c r="C10" s="160">
        <v>81200</v>
      </c>
      <c r="D10" s="160">
        <v>63350</v>
      </c>
      <c r="E10" s="160">
        <v>40950</v>
      </c>
      <c r="I10" t="s">
        <v>954</v>
      </c>
      <c r="J10" s="160">
        <v>101</v>
      </c>
      <c r="K10" s="160"/>
      <c r="L10" s="160"/>
      <c r="M10" s="160"/>
    </row>
    <row r="11" spans="1:13" x14ac:dyDescent="0.3">
      <c r="A11" t="s">
        <v>384</v>
      </c>
      <c r="B11" s="160">
        <v>28000</v>
      </c>
      <c r="C11" s="160">
        <v>81375</v>
      </c>
      <c r="D11" s="160">
        <v>17500</v>
      </c>
      <c r="E11" s="160">
        <v>55650</v>
      </c>
      <c r="I11" t="s">
        <v>367</v>
      </c>
      <c r="J11" s="160">
        <v>193</v>
      </c>
      <c r="K11" s="160">
        <v>260</v>
      </c>
      <c r="L11" s="160">
        <v>277</v>
      </c>
      <c r="M11" s="160">
        <v>227</v>
      </c>
    </row>
    <row r="12" spans="1:13" x14ac:dyDescent="0.3">
      <c r="A12" t="s">
        <v>391</v>
      </c>
      <c r="B12" s="160">
        <v>37800</v>
      </c>
      <c r="C12" s="160">
        <v>125300</v>
      </c>
      <c r="D12" s="160">
        <v>42700</v>
      </c>
      <c r="E12" s="160">
        <v>41825</v>
      </c>
      <c r="I12" t="s">
        <v>384</v>
      </c>
      <c r="J12" s="160">
        <v>74</v>
      </c>
      <c r="K12" s="160">
        <v>233</v>
      </c>
      <c r="L12" s="160">
        <v>64</v>
      </c>
      <c r="M12" s="160">
        <v>136</v>
      </c>
    </row>
    <row r="13" spans="1:13" x14ac:dyDescent="0.3">
      <c r="A13" t="s">
        <v>363</v>
      </c>
      <c r="B13" s="160">
        <v>59500</v>
      </c>
      <c r="C13" s="160">
        <v>124251</v>
      </c>
      <c r="D13" s="160">
        <v>55825</v>
      </c>
      <c r="E13" s="160">
        <v>47250</v>
      </c>
      <c r="I13" t="s">
        <v>391</v>
      </c>
      <c r="J13" s="160">
        <v>208</v>
      </c>
      <c r="K13" s="160">
        <v>404</v>
      </c>
      <c r="L13" s="160">
        <v>194</v>
      </c>
      <c r="M13" s="160">
        <v>195</v>
      </c>
    </row>
    <row r="14" spans="1:13" x14ac:dyDescent="0.3">
      <c r="I14" t="s">
        <v>363</v>
      </c>
      <c r="J14" s="160">
        <v>191</v>
      </c>
      <c r="K14" s="160">
        <v>326</v>
      </c>
      <c r="L14" s="160">
        <v>217</v>
      </c>
      <c r="M14" s="160">
        <v>158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8.75" x14ac:dyDescent="0.3"/>
  <cols>
    <col min="3" max="3" width="9.5" bestFit="1" customWidth="1"/>
    <col min="4" max="4" width="6.8984375" bestFit="1" customWidth="1"/>
    <col min="5" max="5" width="5.796875" bestFit="1" customWidth="1"/>
    <col min="11" max="11" width="12.796875" customWidth="1"/>
  </cols>
  <sheetData>
    <row r="1" spans="1:11" ht="19.5" thickBot="1" x14ac:dyDescent="0.35">
      <c r="A1" s="75" t="s">
        <v>356</v>
      </c>
      <c r="B1" s="75" t="s">
        <v>317</v>
      </c>
      <c r="C1" s="75" t="s">
        <v>319</v>
      </c>
      <c r="D1" s="75" t="s">
        <v>357</v>
      </c>
      <c r="E1" s="75" t="s">
        <v>84</v>
      </c>
      <c r="F1" s="75" t="s">
        <v>358</v>
      </c>
      <c r="G1" s="75" t="s">
        <v>359</v>
      </c>
      <c r="H1" s="75" t="s">
        <v>252</v>
      </c>
      <c r="K1" s="89" t="s">
        <v>955</v>
      </c>
    </row>
    <row r="2" spans="1:11" x14ac:dyDescent="0.3">
      <c r="A2" s="72">
        <v>1</v>
      </c>
      <c r="B2" s="73" t="s">
        <v>420</v>
      </c>
      <c r="C2" s="73" t="s">
        <v>421</v>
      </c>
      <c r="D2" s="73" t="s">
        <v>363</v>
      </c>
      <c r="E2" s="73" t="s">
        <v>422</v>
      </c>
      <c r="F2" s="73" t="s">
        <v>423</v>
      </c>
      <c r="G2" s="74">
        <v>28126</v>
      </c>
      <c r="H2" s="76">
        <v>21875</v>
      </c>
    </row>
    <row r="3" spans="1:11" x14ac:dyDescent="0.3">
      <c r="A3" s="72">
        <v>3</v>
      </c>
      <c r="B3" s="73" t="s">
        <v>505</v>
      </c>
      <c r="C3" s="73" t="s">
        <v>325</v>
      </c>
      <c r="D3" s="73" t="s">
        <v>375</v>
      </c>
      <c r="E3" s="73" t="s">
        <v>506</v>
      </c>
      <c r="F3" s="73" t="s">
        <v>507</v>
      </c>
      <c r="G3" s="74">
        <v>36220</v>
      </c>
      <c r="H3" s="76">
        <v>7000</v>
      </c>
    </row>
    <row r="4" spans="1:11" x14ac:dyDescent="0.3">
      <c r="A4" s="72">
        <v>4</v>
      </c>
      <c r="B4" s="73" t="s">
        <v>425</v>
      </c>
      <c r="C4" s="73" t="s">
        <v>426</v>
      </c>
      <c r="D4" s="73" t="s">
        <v>367</v>
      </c>
      <c r="E4" s="73" t="s">
        <v>422</v>
      </c>
      <c r="F4" s="73" t="s">
        <v>385</v>
      </c>
      <c r="G4" s="74">
        <v>29183</v>
      </c>
      <c r="H4" s="76">
        <v>12250</v>
      </c>
    </row>
    <row r="5" spans="1:11" x14ac:dyDescent="0.3">
      <c r="A5" s="72">
        <v>5</v>
      </c>
      <c r="B5" s="73" t="s">
        <v>427</v>
      </c>
      <c r="C5" s="73" t="s">
        <v>428</v>
      </c>
      <c r="D5" s="73" t="s">
        <v>391</v>
      </c>
      <c r="E5" s="73" t="s">
        <v>422</v>
      </c>
      <c r="F5" s="73" t="s">
        <v>429</v>
      </c>
      <c r="G5" s="74">
        <v>32755</v>
      </c>
      <c r="H5" s="76">
        <v>21000</v>
      </c>
    </row>
    <row r="6" spans="1:11" x14ac:dyDescent="0.3">
      <c r="A6" s="72">
        <v>6</v>
      </c>
      <c r="B6" s="73" t="s">
        <v>430</v>
      </c>
      <c r="C6" s="73" t="s">
        <v>431</v>
      </c>
      <c r="D6" s="73" t="s">
        <v>375</v>
      </c>
      <c r="E6" s="73" t="s">
        <v>422</v>
      </c>
      <c r="F6" s="73" t="s">
        <v>432</v>
      </c>
      <c r="G6" s="74">
        <v>32390</v>
      </c>
      <c r="H6" s="76">
        <v>12425</v>
      </c>
    </row>
    <row r="7" spans="1:11" x14ac:dyDescent="0.3">
      <c r="A7" s="72">
        <v>7</v>
      </c>
      <c r="B7" s="73" t="s">
        <v>545</v>
      </c>
      <c r="C7" s="73" t="s">
        <v>546</v>
      </c>
      <c r="D7" s="73" t="s">
        <v>384</v>
      </c>
      <c r="E7" s="73" t="s">
        <v>547</v>
      </c>
      <c r="F7" s="73" t="s">
        <v>548</v>
      </c>
      <c r="G7" s="74">
        <v>33102</v>
      </c>
      <c r="H7" s="76">
        <v>12425</v>
      </c>
    </row>
    <row r="8" spans="1:11" x14ac:dyDescent="0.3">
      <c r="A8" s="72">
        <v>8</v>
      </c>
      <c r="B8" s="73" t="s">
        <v>434</v>
      </c>
      <c r="C8" s="73" t="s">
        <v>435</v>
      </c>
      <c r="D8" s="73" t="s">
        <v>391</v>
      </c>
      <c r="E8" s="73" t="s">
        <v>422</v>
      </c>
      <c r="F8" s="73" t="s">
        <v>436</v>
      </c>
      <c r="G8" s="74">
        <v>32755</v>
      </c>
      <c r="H8" s="76">
        <v>12425</v>
      </c>
    </row>
    <row r="9" spans="1:11" x14ac:dyDescent="0.3">
      <c r="A9" s="72">
        <v>9</v>
      </c>
      <c r="B9" s="73" t="s">
        <v>437</v>
      </c>
      <c r="C9" s="73" t="s">
        <v>438</v>
      </c>
      <c r="D9" s="73" t="s">
        <v>363</v>
      </c>
      <c r="E9" s="73" t="s">
        <v>422</v>
      </c>
      <c r="F9" s="73" t="s">
        <v>439</v>
      </c>
      <c r="G9" s="74">
        <v>36506</v>
      </c>
      <c r="H9" s="76">
        <v>14875</v>
      </c>
    </row>
    <row r="10" spans="1:11" x14ac:dyDescent="0.3">
      <c r="A10" s="72">
        <v>10</v>
      </c>
      <c r="B10" s="73" t="s">
        <v>365</v>
      </c>
      <c r="C10" s="73" t="s">
        <v>366</v>
      </c>
      <c r="D10" s="73" t="s">
        <v>367</v>
      </c>
      <c r="E10" s="73" t="s">
        <v>90</v>
      </c>
      <c r="F10" s="73" t="s">
        <v>368</v>
      </c>
      <c r="G10" s="74">
        <v>28326</v>
      </c>
      <c r="H10" s="76">
        <v>15750</v>
      </c>
    </row>
    <row r="11" spans="1:11" x14ac:dyDescent="0.3">
      <c r="A11" s="72">
        <v>11</v>
      </c>
      <c r="B11" s="73" t="s">
        <v>549</v>
      </c>
      <c r="C11" s="73" t="s">
        <v>550</v>
      </c>
      <c r="D11" s="73" t="s">
        <v>371</v>
      </c>
      <c r="E11" s="73" t="s">
        <v>547</v>
      </c>
      <c r="F11" s="73" t="s">
        <v>548</v>
      </c>
      <c r="G11" s="74">
        <v>31402</v>
      </c>
      <c r="H11" s="76">
        <v>14875</v>
      </c>
    </row>
    <row r="12" spans="1:11" x14ac:dyDescent="0.3">
      <c r="A12" s="72">
        <v>12</v>
      </c>
      <c r="B12" s="73" t="s">
        <v>440</v>
      </c>
      <c r="C12" s="73" t="s">
        <v>441</v>
      </c>
      <c r="D12" s="73" t="s">
        <v>375</v>
      </c>
      <c r="E12" s="73" t="s">
        <v>422</v>
      </c>
      <c r="F12" s="73" t="s">
        <v>442</v>
      </c>
      <c r="G12" s="74">
        <v>30376</v>
      </c>
      <c r="H12" s="76">
        <v>21000</v>
      </c>
    </row>
    <row r="13" spans="1:11" x14ac:dyDescent="0.3">
      <c r="A13" s="72">
        <v>13</v>
      </c>
      <c r="B13" s="73" t="s">
        <v>369</v>
      </c>
      <c r="C13" s="73" t="s">
        <v>370</v>
      </c>
      <c r="D13" s="73" t="s">
        <v>371</v>
      </c>
      <c r="E13" s="73" t="s">
        <v>90</v>
      </c>
      <c r="F13" s="73" t="s">
        <v>372</v>
      </c>
      <c r="G13" s="74">
        <v>31027</v>
      </c>
      <c r="H13" s="76">
        <v>19250</v>
      </c>
    </row>
    <row r="14" spans="1:11" x14ac:dyDescent="0.3">
      <c r="A14" s="72">
        <v>14</v>
      </c>
      <c r="B14" s="73" t="s">
        <v>464</v>
      </c>
      <c r="C14" s="73" t="s">
        <v>403</v>
      </c>
      <c r="D14" s="73" t="s">
        <v>508</v>
      </c>
      <c r="E14" s="73" t="s">
        <v>506</v>
      </c>
      <c r="F14" s="73" t="s">
        <v>509</v>
      </c>
      <c r="G14" s="74">
        <v>31028</v>
      </c>
      <c r="H14" s="76">
        <v>49000</v>
      </c>
    </row>
    <row r="15" spans="1:11" x14ac:dyDescent="0.3">
      <c r="A15" s="72">
        <v>15</v>
      </c>
      <c r="B15" s="73" t="s">
        <v>443</v>
      </c>
      <c r="C15" s="73" t="s">
        <v>444</v>
      </c>
      <c r="D15" s="73" t="s">
        <v>384</v>
      </c>
      <c r="E15" s="73" t="s">
        <v>422</v>
      </c>
      <c r="F15" s="73" t="s">
        <v>442</v>
      </c>
      <c r="G15" s="74">
        <v>31029</v>
      </c>
      <c r="H15" s="76">
        <v>14875</v>
      </c>
    </row>
    <row r="16" spans="1:11" x14ac:dyDescent="0.3">
      <c r="A16" s="72">
        <v>16</v>
      </c>
      <c r="B16" s="73" t="s">
        <v>445</v>
      </c>
      <c r="C16" s="73" t="s">
        <v>446</v>
      </c>
      <c r="D16" s="73" t="s">
        <v>384</v>
      </c>
      <c r="E16" s="73" t="s">
        <v>422</v>
      </c>
      <c r="F16" s="73" t="s">
        <v>447</v>
      </c>
      <c r="G16" s="74">
        <v>31030</v>
      </c>
      <c r="H16" s="76">
        <v>14875</v>
      </c>
    </row>
    <row r="17" spans="1:8" x14ac:dyDescent="0.3">
      <c r="A17" s="72">
        <v>17</v>
      </c>
      <c r="B17" s="73" t="s">
        <v>373</v>
      </c>
      <c r="C17" s="73" t="s">
        <v>374</v>
      </c>
      <c r="D17" s="73" t="s">
        <v>375</v>
      </c>
      <c r="E17" s="73" t="s">
        <v>90</v>
      </c>
      <c r="F17" s="73" t="s">
        <v>364</v>
      </c>
      <c r="G17" s="74">
        <v>30376</v>
      </c>
      <c r="H17" s="76">
        <v>15750</v>
      </c>
    </row>
    <row r="18" spans="1:8" x14ac:dyDescent="0.3">
      <c r="A18" s="72">
        <v>18</v>
      </c>
      <c r="B18" s="73" t="s">
        <v>551</v>
      </c>
      <c r="C18" s="73" t="s">
        <v>552</v>
      </c>
      <c r="D18" s="73" t="s">
        <v>375</v>
      </c>
      <c r="E18" s="73" t="s">
        <v>547</v>
      </c>
      <c r="F18" s="73" t="s">
        <v>553</v>
      </c>
      <c r="G18" s="74">
        <v>30376</v>
      </c>
      <c r="H18" s="76">
        <v>15750</v>
      </c>
    </row>
    <row r="19" spans="1:8" x14ac:dyDescent="0.3">
      <c r="A19" s="72">
        <v>19</v>
      </c>
      <c r="B19" s="73" t="s">
        <v>448</v>
      </c>
      <c r="C19" s="73" t="s">
        <v>449</v>
      </c>
      <c r="D19" s="73" t="s">
        <v>367</v>
      </c>
      <c r="E19" s="73" t="s">
        <v>422</v>
      </c>
      <c r="F19" s="73" t="s">
        <v>432</v>
      </c>
      <c r="G19" s="74">
        <v>31637</v>
      </c>
      <c r="H19" s="76">
        <v>10500</v>
      </c>
    </row>
    <row r="20" spans="1:8" x14ac:dyDescent="0.3">
      <c r="A20" s="72">
        <v>20</v>
      </c>
      <c r="B20" s="73" t="s">
        <v>450</v>
      </c>
      <c r="C20" s="73" t="s">
        <v>451</v>
      </c>
      <c r="D20" s="73" t="s">
        <v>367</v>
      </c>
      <c r="E20" s="73" t="s">
        <v>422</v>
      </c>
      <c r="F20" s="73" t="s">
        <v>447</v>
      </c>
      <c r="G20" s="74">
        <v>36316</v>
      </c>
      <c r="H20" s="76">
        <v>5950</v>
      </c>
    </row>
    <row r="21" spans="1:8" x14ac:dyDescent="0.3">
      <c r="A21" s="72">
        <v>21</v>
      </c>
      <c r="B21" s="73" t="s">
        <v>376</v>
      </c>
      <c r="C21" s="73" t="s">
        <v>377</v>
      </c>
      <c r="D21" s="73" t="s">
        <v>367</v>
      </c>
      <c r="E21" s="73" t="s">
        <v>90</v>
      </c>
      <c r="F21" s="73" t="s">
        <v>378</v>
      </c>
      <c r="G21" s="74">
        <v>36317</v>
      </c>
      <c r="H21" s="76">
        <v>7875</v>
      </c>
    </row>
    <row r="22" spans="1:8" x14ac:dyDescent="0.3">
      <c r="A22" s="72">
        <v>22</v>
      </c>
      <c r="B22" s="73" t="s">
        <v>554</v>
      </c>
      <c r="C22" s="73" t="s">
        <v>478</v>
      </c>
      <c r="D22" s="73" t="s">
        <v>367</v>
      </c>
      <c r="E22" s="73" t="s">
        <v>547</v>
      </c>
      <c r="F22" s="73" t="s">
        <v>553</v>
      </c>
      <c r="G22" s="74">
        <v>36318</v>
      </c>
      <c r="H22" s="76">
        <v>7875</v>
      </c>
    </row>
    <row r="23" spans="1:8" x14ac:dyDescent="0.3">
      <c r="A23" s="72">
        <v>23</v>
      </c>
      <c r="B23" s="73" t="s">
        <v>555</v>
      </c>
      <c r="C23" s="73" t="s">
        <v>483</v>
      </c>
      <c r="D23" s="73" t="s">
        <v>367</v>
      </c>
      <c r="E23" s="73" t="s">
        <v>547</v>
      </c>
      <c r="F23" s="73" t="s">
        <v>548</v>
      </c>
      <c r="G23" s="74">
        <v>36319</v>
      </c>
      <c r="H23" s="76">
        <v>7875</v>
      </c>
    </row>
    <row r="24" spans="1:8" x14ac:dyDescent="0.3">
      <c r="A24" s="72">
        <v>24</v>
      </c>
      <c r="B24" s="73" t="s">
        <v>389</v>
      </c>
      <c r="C24" s="73" t="s">
        <v>556</v>
      </c>
      <c r="D24" s="73" t="s">
        <v>363</v>
      </c>
      <c r="E24" s="73" t="s">
        <v>547</v>
      </c>
      <c r="F24" s="73" t="s">
        <v>553</v>
      </c>
      <c r="G24" s="74">
        <v>29362</v>
      </c>
      <c r="H24" s="76">
        <v>14875</v>
      </c>
    </row>
    <row r="25" spans="1:8" x14ac:dyDescent="0.3">
      <c r="A25" s="72">
        <v>25</v>
      </c>
      <c r="B25" s="73" t="s">
        <v>510</v>
      </c>
      <c r="C25" s="73" t="s">
        <v>511</v>
      </c>
      <c r="D25" s="73" t="s">
        <v>391</v>
      </c>
      <c r="E25" s="73" t="s">
        <v>506</v>
      </c>
      <c r="F25" s="73" t="s">
        <v>512</v>
      </c>
      <c r="G25" s="74">
        <v>36274</v>
      </c>
      <c r="H25" s="76">
        <v>7875</v>
      </c>
    </row>
    <row r="26" spans="1:8" x14ac:dyDescent="0.3">
      <c r="A26" s="72">
        <v>26</v>
      </c>
      <c r="B26" s="73" t="s">
        <v>379</v>
      </c>
      <c r="C26" s="73" t="s">
        <v>380</v>
      </c>
      <c r="D26" s="73" t="s">
        <v>363</v>
      </c>
      <c r="E26" s="73" t="s">
        <v>90</v>
      </c>
      <c r="F26" s="73" t="s">
        <v>364</v>
      </c>
      <c r="G26" s="74">
        <v>30225</v>
      </c>
      <c r="H26" s="76">
        <v>19250</v>
      </c>
    </row>
    <row r="27" spans="1:8" x14ac:dyDescent="0.3">
      <c r="A27" s="72">
        <v>27</v>
      </c>
      <c r="B27" s="73" t="s">
        <v>513</v>
      </c>
      <c r="C27" s="73" t="s">
        <v>514</v>
      </c>
      <c r="D27" s="73" t="s">
        <v>363</v>
      </c>
      <c r="E27" s="73" t="s">
        <v>506</v>
      </c>
      <c r="F27" s="73" t="s">
        <v>515</v>
      </c>
      <c r="G27" s="74">
        <v>33787</v>
      </c>
      <c r="H27" s="76">
        <v>13125</v>
      </c>
    </row>
    <row r="28" spans="1:8" x14ac:dyDescent="0.3">
      <c r="A28" s="72">
        <v>28</v>
      </c>
      <c r="B28" s="73" t="s">
        <v>557</v>
      </c>
      <c r="C28" s="73" t="s">
        <v>558</v>
      </c>
      <c r="D28" s="73" t="s">
        <v>391</v>
      </c>
      <c r="E28" s="73" t="s">
        <v>547</v>
      </c>
      <c r="F28" s="73" t="s">
        <v>559</v>
      </c>
      <c r="G28" s="74">
        <v>34777</v>
      </c>
      <c r="H28" s="76">
        <v>10500</v>
      </c>
    </row>
    <row r="29" spans="1:8" x14ac:dyDescent="0.3">
      <c r="A29" s="72">
        <v>29</v>
      </c>
      <c r="B29" s="73" t="s">
        <v>452</v>
      </c>
      <c r="C29" s="73" t="s">
        <v>453</v>
      </c>
      <c r="D29" s="73" t="s">
        <v>375</v>
      </c>
      <c r="E29" s="73" t="s">
        <v>422</v>
      </c>
      <c r="F29" s="73" t="s">
        <v>447</v>
      </c>
      <c r="G29" s="74">
        <v>35189</v>
      </c>
      <c r="H29" s="76">
        <v>9625</v>
      </c>
    </row>
    <row r="30" spans="1:8" x14ac:dyDescent="0.3">
      <c r="A30" s="72">
        <v>30</v>
      </c>
      <c r="B30" s="73" t="s">
        <v>382</v>
      </c>
      <c r="C30" s="73" t="s">
        <v>383</v>
      </c>
      <c r="D30" s="73" t="s">
        <v>384</v>
      </c>
      <c r="E30" s="73" t="s">
        <v>90</v>
      </c>
      <c r="F30" s="73" t="s">
        <v>378</v>
      </c>
      <c r="G30" s="74">
        <v>32435</v>
      </c>
      <c r="H30" s="76">
        <v>14175</v>
      </c>
    </row>
    <row r="31" spans="1:8" x14ac:dyDescent="0.3">
      <c r="A31" s="72">
        <v>31</v>
      </c>
      <c r="B31" s="73" t="s">
        <v>454</v>
      </c>
      <c r="C31" s="73" t="s">
        <v>455</v>
      </c>
      <c r="D31" s="73" t="s">
        <v>391</v>
      </c>
      <c r="E31" s="73" t="s">
        <v>422</v>
      </c>
      <c r="F31" s="73" t="s">
        <v>436</v>
      </c>
      <c r="G31" s="74">
        <v>30225</v>
      </c>
      <c r="H31" s="76">
        <v>15750</v>
      </c>
    </row>
    <row r="32" spans="1:8" x14ac:dyDescent="0.3">
      <c r="A32" s="72">
        <v>32</v>
      </c>
      <c r="B32" s="73" t="s">
        <v>516</v>
      </c>
      <c r="C32" s="73" t="s">
        <v>472</v>
      </c>
      <c r="D32" s="73" t="s">
        <v>397</v>
      </c>
      <c r="E32" s="73" t="s">
        <v>506</v>
      </c>
      <c r="F32" s="73" t="s">
        <v>512</v>
      </c>
      <c r="G32" s="74">
        <v>30225</v>
      </c>
      <c r="H32" s="76">
        <v>15750</v>
      </c>
    </row>
    <row r="33" spans="1:8" x14ac:dyDescent="0.3">
      <c r="A33" s="72">
        <v>33</v>
      </c>
      <c r="B33" s="73" t="s">
        <v>456</v>
      </c>
      <c r="C33" s="73" t="s">
        <v>457</v>
      </c>
      <c r="D33" s="73" t="s">
        <v>397</v>
      </c>
      <c r="E33" s="73" t="s">
        <v>422</v>
      </c>
      <c r="F33" s="73" t="s">
        <v>439</v>
      </c>
      <c r="G33" s="74">
        <v>35618</v>
      </c>
      <c r="H33" s="76">
        <v>7000</v>
      </c>
    </row>
    <row r="34" spans="1:8" x14ac:dyDescent="0.3">
      <c r="A34" s="72">
        <v>34</v>
      </c>
      <c r="B34" s="73" t="s">
        <v>458</v>
      </c>
      <c r="C34" s="73" t="s">
        <v>459</v>
      </c>
      <c r="D34" s="73" t="s">
        <v>397</v>
      </c>
      <c r="E34" s="73" t="s">
        <v>422</v>
      </c>
      <c r="F34" s="73" t="s">
        <v>460</v>
      </c>
      <c r="G34" s="74">
        <v>33510</v>
      </c>
      <c r="H34" s="76">
        <v>8750</v>
      </c>
    </row>
    <row r="35" spans="1:8" x14ac:dyDescent="0.3">
      <c r="A35" s="72">
        <v>35</v>
      </c>
      <c r="B35" s="73" t="s">
        <v>517</v>
      </c>
      <c r="C35" s="73" t="s">
        <v>472</v>
      </c>
      <c r="D35" s="73" t="s">
        <v>367</v>
      </c>
      <c r="E35" s="73" t="s">
        <v>506</v>
      </c>
      <c r="F35" s="73" t="s">
        <v>512</v>
      </c>
      <c r="G35" s="74">
        <v>33729</v>
      </c>
      <c r="H35" s="76">
        <v>9275</v>
      </c>
    </row>
    <row r="36" spans="1:8" x14ac:dyDescent="0.3">
      <c r="A36" s="72">
        <v>36</v>
      </c>
      <c r="B36" s="73" t="s">
        <v>389</v>
      </c>
      <c r="C36" s="73" t="s">
        <v>560</v>
      </c>
      <c r="D36" s="73" t="s">
        <v>384</v>
      </c>
      <c r="E36" s="73" t="s">
        <v>547</v>
      </c>
      <c r="F36" s="73" t="s">
        <v>561</v>
      </c>
      <c r="G36" s="74">
        <v>34580</v>
      </c>
      <c r="H36" s="76">
        <v>11725</v>
      </c>
    </row>
    <row r="37" spans="1:8" x14ac:dyDescent="0.3">
      <c r="A37" s="72">
        <v>37</v>
      </c>
      <c r="B37" s="73" t="s">
        <v>440</v>
      </c>
      <c r="C37" s="73" t="s">
        <v>518</v>
      </c>
      <c r="D37" s="73" t="s">
        <v>371</v>
      </c>
      <c r="E37" s="73" t="s">
        <v>506</v>
      </c>
      <c r="F37" s="73" t="s">
        <v>519</v>
      </c>
      <c r="G37" s="74">
        <v>30225</v>
      </c>
      <c r="H37" s="76">
        <v>24500</v>
      </c>
    </row>
    <row r="38" spans="1:8" x14ac:dyDescent="0.3">
      <c r="A38" s="72">
        <v>38</v>
      </c>
      <c r="B38" s="73" t="s">
        <v>461</v>
      </c>
      <c r="C38" s="73" t="s">
        <v>462</v>
      </c>
      <c r="D38" s="73" t="s">
        <v>371</v>
      </c>
      <c r="E38" s="73" t="s">
        <v>422</v>
      </c>
      <c r="F38" s="73" t="s">
        <v>463</v>
      </c>
      <c r="G38" s="74">
        <v>30225</v>
      </c>
      <c r="H38" s="76">
        <v>24500</v>
      </c>
    </row>
    <row r="39" spans="1:8" x14ac:dyDescent="0.3">
      <c r="A39" s="72">
        <v>39</v>
      </c>
      <c r="B39" s="73" t="s">
        <v>464</v>
      </c>
      <c r="C39" s="73" t="s">
        <v>465</v>
      </c>
      <c r="D39" s="73" t="s">
        <v>371</v>
      </c>
      <c r="E39" s="73" t="s">
        <v>422</v>
      </c>
      <c r="F39" s="73" t="s">
        <v>466</v>
      </c>
      <c r="G39" s="74">
        <v>30225</v>
      </c>
      <c r="H39" s="76">
        <v>24500</v>
      </c>
    </row>
    <row r="40" spans="1:8" x14ac:dyDescent="0.3">
      <c r="A40" s="72">
        <v>40</v>
      </c>
      <c r="B40" s="73" t="s">
        <v>520</v>
      </c>
      <c r="C40" s="73" t="s">
        <v>521</v>
      </c>
      <c r="D40" s="73" t="s">
        <v>363</v>
      </c>
      <c r="E40" s="73" t="s">
        <v>506</v>
      </c>
      <c r="F40" s="73" t="s">
        <v>512</v>
      </c>
      <c r="G40" s="74">
        <v>33510</v>
      </c>
      <c r="H40" s="76">
        <v>10500</v>
      </c>
    </row>
    <row r="41" spans="1:8" x14ac:dyDescent="0.3">
      <c r="A41" s="72">
        <v>41</v>
      </c>
      <c r="B41" s="73" t="s">
        <v>386</v>
      </c>
      <c r="C41" s="73" t="s">
        <v>387</v>
      </c>
      <c r="D41" s="73" t="s">
        <v>375</v>
      </c>
      <c r="E41" s="73" t="s">
        <v>90</v>
      </c>
      <c r="F41" s="73" t="s">
        <v>368</v>
      </c>
      <c r="G41" s="74">
        <v>35595</v>
      </c>
      <c r="H41" s="76">
        <v>7875</v>
      </c>
    </row>
    <row r="42" spans="1:8" x14ac:dyDescent="0.3">
      <c r="A42" s="72">
        <v>42</v>
      </c>
      <c r="B42" s="73" t="s">
        <v>389</v>
      </c>
      <c r="C42" s="73" t="s">
        <v>390</v>
      </c>
      <c r="D42" s="73" t="s">
        <v>391</v>
      </c>
      <c r="E42" s="73" t="s">
        <v>90</v>
      </c>
      <c r="F42" s="73" t="s">
        <v>372</v>
      </c>
      <c r="G42" s="74">
        <v>33510</v>
      </c>
      <c r="H42" s="76">
        <v>13300</v>
      </c>
    </row>
    <row r="43" spans="1:8" x14ac:dyDescent="0.3">
      <c r="A43" s="72">
        <v>43</v>
      </c>
      <c r="B43" s="73" t="s">
        <v>562</v>
      </c>
      <c r="C43" s="73" t="s">
        <v>525</v>
      </c>
      <c r="D43" s="73" t="s">
        <v>384</v>
      </c>
      <c r="E43" s="73" t="s">
        <v>547</v>
      </c>
      <c r="F43" s="73" t="s">
        <v>559</v>
      </c>
      <c r="G43" s="74">
        <v>32435</v>
      </c>
      <c r="H43" s="76">
        <v>15750</v>
      </c>
    </row>
    <row r="44" spans="1:8" x14ac:dyDescent="0.3">
      <c r="A44" s="72">
        <v>44</v>
      </c>
      <c r="B44" s="73" t="s">
        <v>393</v>
      </c>
      <c r="C44" s="73" t="s">
        <v>394</v>
      </c>
      <c r="D44" s="73" t="s">
        <v>384</v>
      </c>
      <c r="E44" s="73" t="s">
        <v>90</v>
      </c>
      <c r="F44" s="73" t="s">
        <v>364</v>
      </c>
      <c r="G44" s="74">
        <v>33194</v>
      </c>
      <c r="H44" s="76">
        <v>13825</v>
      </c>
    </row>
    <row r="45" spans="1:8" x14ac:dyDescent="0.3">
      <c r="A45" s="72">
        <v>45</v>
      </c>
      <c r="B45" s="73" t="s">
        <v>467</v>
      </c>
      <c r="C45" s="73" t="s">
        <v>468</v>
      </c>
      <c r="D45" s="73" t="s">
        <v>391</v>
      </c>
      <c r="E45" s="73" t="s">
        <v>422</v>
      </c>
      <c r="F45" s="73" t="s">
        <v>423</v>
      </c>
      <c r="G45" s="74">
        <v>35618</v>
      </c>
      <c r="H45" s="76">
        <v>11375</v>
      </c>
    </row>
    <row r="46" spans="1:8" x14ac:dyDescent="0.3">
      <c r="A46" s="72">
        <v>46</v>
      </c>
      <c r="B46" s="73" t="s">
        <v>469</v>
      </c>
      <c r="C46" s="73" t="s">
        <v>470</v>
      </c>
      <c r="D46" s="73" t="s">
        <v>363</v>
      </c>
      <c r="E46" s="73" t="s">
        <v>422</v>
      </c>
      <c r="F46" s="73" t="s">
        <v>460</v>
      </c>
      <c r="G46" s="74">
        <v>33510</v>
      </c>
      <c r="H46" s="76">
        <v>15750</v>
      </c>
    </row>
    <row r="47" spans="1:8" x14ac:dyDescent="0.3">
      <c r="A47" s="72">
        <v>47</v>
      </c>
      <c r="B47" s="73" t="s">
        <v>471</v>
      </c>
      <c r="C47" s="73" t="s">
        <v>472</v>
      </c>
      <c r="D47" s="73" t="s">
        <v>375</v>
      </c>
      <c r="E47" s="73" t="s">
        <v>422</v>
      </c>
      <c r="F47" s="73" t="s">
        <v>429</v>
      </c>
      <c r="G47" s="74">
        <v>32180</v>
      </c>
      <c r="H47" s="76">
        <v>15750</v>
      </c>
    </row>
    <row r="48" spans="1:8" x14ac:dyDescent="0.3">
      <c r="A48" s="72">
        <v>48</v>
      </c>
      <c r="B48" s="73" t="s">
        <v>563</v>
      </c>
      <c r="C48" s="73" t="s">
        <v>472</v>
      </c>
      <c r="D48" s="73" t="s">
        <v>397</v>
      </c>
      <c r="E48" s="73" t="s">
        <v>547</v>
      </c>
      <c r="F48" s="73" t="s">
        <v>564</v>
      </c>
      <c r="G48" s="74">
        <v>32435</v>
      </c>
      <c r="H48" s="76">
        <v>15750</v>
      </c>
    </row>
    <row r="49" spans="1:8" x14ac:dyDescent="0.3">
      <c r="A49" s="72">
        <v>49</v>
      </c>
      <c r="B49" s="73" t="s">
        <v>522</v>
      </c>
      <c r="C49" s="73" t="s">
        <v>523</v>
      </c>
      <c r="D49" s="73" t="s">
        <v>397</v>
      </c>
      <c r="E49" s="73" t="s">
        <v>506</v>
      </c>
      <c r="F49" s="73" t="s">
        <v>509</v>
      </c>
      <c r="G49" s="74">
        <v>32435</v>
      </c>
      <c r="H49" s="76">
        <v>15750</v>
      </c>
    </row>
    <row r="50" spans="1:8" x14ac:dyDescent="0.3">
      <c r="A50" s="72">
        <v>50</v>
      </c>
      <c r="B50" s="73" t="s">
        <v>565</v>
      </c>
      <c r="C50" s="73" t="s">
        <v>470</v>
      </c>
      <c r="D50" s="73" t="s">
        <v>384</v>
      </c>
      <c r="E50" s="73" t="s">
        <v>547</v>
      </c>
      <c r="F50" s="73" t="s">
        <v>564</v>
      </c>
      <c r="G50" s="74">
        <v>32435</v>
      </c>
      <c r="H50" s="76">
        <v>15750</v>
      </c>
    </row>
    <row r="51" spans="1:8" x14ac:dyDescent="0.3">
      <c r="A51" s="72">
        <v>51</v>
      </c>
      <c r="B51" s="73" t="s">
        <v>473</v>
      </c>
      <c r="C51" s="73" t="s">
        <v>474</v>
      </c>
      <c r="D51" s="73" t="s">
        <v>363</v>
      </c>
      <c r="E51" s="73" t="s">
        <v>422</v>
      </c>
      <c r="F51" s="73" t="s">
        <v>442</v>
      </c>
      <c r="G51" s="74">
        <v>32436</v>
      </c>
      <c r="H51" s="76">
        <v>15750</v>
      </c>
    </row>
    <row r="52" spans="1:8" x14ac:dyDescent="0.3">
      <c r="A52" s="72">
        <v>52</v>
      </c>
      <c r="B52" s="73" t="s">
        <v>475</v>
      </c>
      <c r="C52" s="73" t="s">
        <v>476</v>
      </c>
      <c r="D52" s="73" t="s">
        <v>397</v>
      </c>
      <c r="E52" s="73" t="s">
        <v>422</v>
      </c>
      <c r="F52" s="73" t="s">
        <v>460</v>
      </c>
      <c r="G52" s="74">
        <v>32437</v>
      </c>
      <c r="H52" s="76">
        <v>19250</v>
      </c>
    </row>
    <row r="53" spans="1:8" x14ac:dyDescent="0.3">
      <c r="A53" s="72">
        <v>53</v>
      </c>
      <c r="B53" s="73" t="s">
        <v>566</v>
      </c>
      <c r="C53" s="73" t="s">
        <v>567</v>
      </c>
      <c r="D53" s="73" t="s">
        <v>397</v>
      </c>
      <c r="E53" s="73" t="s">
        <v>547</v>
      </c>
      <c r="F53" s="73" t="s">
        <v>568</v>
      </c>
      <c r="G53" s="74">
        <v>35034</v>
      </c>
      <c r="H53" s="76">
        <v>15750</v>
      </c>
    </row>
    <row r="54" spans="1:8" x14ac:dyDescent="0.3">
      <c r="A54" s="72">
        <v>54</v>
      </c>
      <c r="B54" s="73" t="s">
        <v>395</v>
      </c>
      <c r="C54" s="73" t="s">
        <v>396</v>
      </c>
      <c r="D54" s="73" t="s">
        <v>397</v>
      </c>
      <c r="E54" s="73" t="s">
        <v>90</v>
      </c>
      <c r="F54" s="73" t="s">
        <v>398</v>
      </c>
      <c r="G54" s="74">
        <v>34761</v>
      </c>
      <c r="H54" s="76">
        <v>15750</v>
      </c>
    </row>
    <row r="55" spans="1:8" x14ac:dyDescent="0.3">
      <c r="A55" s="72">
        <v>55</v>
      </c>
      <c r="B55" s="73" t="s">
        <v>399</v>
      </c>
      <c r="C55" s="73" t="s">
        <v>400</v>
      </c>
      <c r="D55" s="73" t="s">
        <v>397</v>
      </c>
      <c r="E55" s="73" t="s">
        <v>90</v>
      </c>
      <c r="F55" s="73" t="s">
        <v>401</v>
      </c>
      <c r="G55" s="74">
        <v>31717</v>
      </c>
      <c r="H55" s="76">
        <v>15750</v>
      </c>
    </row>
    <row r="56" spans="1:8" x14ac:dyDescent="0.3">
      <c r="A56" s="72">
        <v>56</v>
      </c>
      <c r="B56" s="73" t="s">
        <v>569</v>
      </c>
      <c r="C56" s="73" t="s">
        <v>570</v>
      </c>
      <c r="D56" s="73" t="s">
        <v>363</v>
      </c>
      <c r="E56" s="73" t="s">
        <v>547</v>
      </c>
      <c r="F56" s="73" t="s">
        <v>568</v>
      </c>
      <c r="G56" s="74">
        <v>33878</v>
      </c>
      <c r="H56" s="76">
        <v>14875</v>
      </c>
    </row>
    <row r="57" spans="1:8" x14ac:dyDescent="0.3">
      <c r="A57" s="72">
        <v>57</v>
      </c>
      <c r="B57" s="73" t="s">
        <v>524</v>
      </c>
      <c r="C57" s="73" t="s">
        <v>525</v>
      </c>
      <c r="D57" s="73" t="s">
        <v>363</v>
      </c>
      <c r="E57" s="73" t="s">
        <v>506</v>
      </c>
      <c r="F57" s="73" t="s">
        <v>526</v>
      </c>
      <c r="G57" s="74">
        <v>34098</v>
      </c>
      <c r="H57" s="76">
        <v>14875</v>
      </c>
    </row>
    <row r="58" spans="1:8" x14ac:dyDescent="0.3">
      <c r="A58" s="72">
        <v>58</v>
      </c>
      <c r="B58" s="73" t="s">
        <v>477</v>
      </c>
      <c r="C58" s="73" t="s">
        <v>478</v>
      </c>
      <c r="D58" s="73" t="s">
        <v>367</v>
      </c>
      <c r="E58" s="73" t="s">
        <v>422</v>
      </c>
      <c r="F58" s="73" t="s">
        <v>436</v>
      </c>
      <c r="G58" s="74">
        <v>33182</v>
      </c>
      <c r="H58" s="76">
        <v>17500</v>
      </c>
    </row>
    <row r="59" spans="1:8" x14ac:dyDescent="0.3">
      <c r="A59" s="72">
        <v>59</v>
      </c>
      <c r="B59" s="73" t="s">
        <v>527</v>
      </c>
      <c r="C59" s="73" t="s">
        <v>528</v>
      </c>
      <c r="D59" s="73" t="s">
        <v>375</v>
      </c>
      <c r="E59" s="73" t="s">
        <v>506</v>
      </c>
      <c r="F59" s="73" t="s">
        <v>515</v>
      </c>
      <c r="G59" s="74">
        <v>31791</v>
      </c>
      <c r="H59" s="76">
        <v>19250</v>
      </c>
    </row>
    <row r="60" spans="1:8" x14ac:dyDescent="0.3">
      <c r="A60" s="72">
        <v>60</v>
      </c>
      <c r="B60" s="73" t="s">
        <v>529</v>
      </c>
      <c r="C60" s="73" t="s">
        <v>530</v>
      </c>
      <c r="D60" s="73" t="s">
        <v>367</v>
      </c>
      <c r="E60" s="73" t="s">
        <v>506</v>
      </c>
      <c r="F60" s="73" t="s">
        <v>531</v>
      </c>
      <c r="G60" s="74">
        <v>32105</v>
      </c>
      <c r="H60" s="76">
        <v>19250</v>
      </c>
    </row>
    <row r="61" spans="1:8" x14ac:dyDescent="0.3">
      <c r="A61" s="72">
        <v>61</v>
      </c>
      <c r="B61" s="73" t="s">
        <v>479</v>
      </c>
      <c r="C61" s="73" t="s">
        <v>480</v>
      </c>
      <c r="D61" s="73" t="s">
        <v>375</v>
      </c>
      <c r="E61" s="73" t="s">
        <v>422</v>
      </c>
      <c r="F61" s="73" t="s">
        <v>436</v>
      </c>
      <c r="G61" s="74">
        <v>32106</v>
      </c>
      <c r="H61" s="76">
        <v>19250</v>
      </c>
    </row>
    <row r="62" spans="1:8" x14ac:dyDescent="0.3">
      <c r="A62" s="72">
        <v>62</v>
      </c>
      <c r="B62" s="73" t="s">
        <v>481</v>
      </c>
      <c r="C62" s="73" t="s">
        <v>374</v>
      </c>
      <c r="D62" s="73" t="s">
        <v>363</v>
      </c>
      <c r="E62" s="73" t="s">
        <v>422</v>
      </c>
      <c r="F62" s="73" t="s">
        <v>429</v>
      </c>
      <c r="G62" s="74">
        <v>32107</v>
      </c>
      <c r="H62" s="76">
        <v>19251</v>
      </c>
    </row>
    <row r="63" spans="1:8" x14ac:dyDescent="0.3">
      <c r="A63" s="72">
        <v>63</v>
      </c>
      <c r="B63" s="73" t="s">
        <v>482</v>
      </c>
      <c r="C63" s="73" t="s">
        <v>483</v>
      </c>
      <c r="D63" s="73" t="s">
        <v>391</v>
      </c>
      <c r="E63" s="73" t="s">
        <v>422</v>
      </c>
      <c r="F63" s="73" t="s">
        <v>442</v>
      </c>
      <c r="G63" s="74">
        <v>32440</v>
      </c>
      <c r="H63" s="76">
        <v>17500</v>
      </c>
    </row>
    <row r="64" spans="1:8" x14ac:dyDescent="0.3">
      <c r="A64" s="72">
        <v>64</v>
      </c>
      <c r="B64" s="73" t="s">
        <v>532</v>
      </c>
      <c r="C64" s="73" t="s">
        <v>533</v>
      </c>
      <c r="D64" s="73" t="s">
        <v>384</v>
      </c>
      <c r="E64" s="73" t="s">
        <v>506</v>
      </c>
      <c r="F64" s="73" t="s">
        <v>507</v>
      </c>
      <c r="G64" s="74">
        <v>32441</v>
      </c>
      <c r="H64" s="76">
        <v>17500</v>
      </c>
    </row>
    <row r="65" spans="1:8" x14ac:dyDescent="0.3">
      <c r="A65" s="72">
        <v>65</v>
      </c>
      <c r="B65" s="73" t="s">
        <v>402</v>
      </c>
      <c r="C65" s="73" t="s">
        <v>403</v>
      </c>
      <c r="D65" s="73" t="s">
        <v>397</v>
      </c>
      <c r="E65" s="73" t="s">
        <v>90</v>
      </c>
      <c r="F65" s="73" t="s">
        <v>372</v>
      </c>
      <c r="G65" s="74">
        <v>32442</v>
      </c>
      <c r="H65" s="76">
        <v>17500</v>
      </c>
    </row>
    <row r="66" spans="1:8" x14ac:dyDescent="0.3">
      <c r="A66" s="72">
        <v>66</v>
      </c>
      <c r="B66" s="73" t="s">
        <v>484</v>
      </c>
      <c r="C66" s="73" t="s">
        <v>485</v>
      </c>
      <c r="D66" s="73" t="s">
        <v>384</v>
      </c>
      <c r="E66" s="73" t="s">
        <v>422</v>
      </c>
      <c r="F66" s="73" t="s">
        <v>436</v>
      </c>
      <c r="G66" s="74">
        <v>32443</v>
      </c>
      <c r="H66" s="76">
        <v>17500</v>
      </c>
    </row>
    <row r="67" spans="1:8" x14ac:dyDescent="0.3">
      <c r="A67" s="72">
        <v>67</v>
      </c>
      <c r="B67" s="73" t="s">
        <v>486</v>
      </c>
      <c r="C67" s="73" t="s">
        <v>405</v>
      </c>
      <c r="D67" s="73" t="s">
        <v>384</v>
      </c>
      <c r="E67" s="73" t="s">
        <v>422</v>
      </c>
      <c r="F67" s="73" t="s">
        <v>460</v>
      </c>
      <c r="G67" s="74">
        <v>32444</v>
      </c>
      <c r="H67" s="76">
        <v>20125</v>
      </c>
    </row>
    <row r="68" spans="1:8" x14ac:dyDescent="0.3">
      <c r="A68" s="72">
        <v>68</v>
      </c>
      <c r="B68" s="73" t="s">
        <v>487</v>
      </c>
      <c r="C68" s="73" t="s">
        <v>403</v>
      </c>
      <c r="D68" s="73" t="s">
        <v>363</v>
      </c>
      <c r="E68" s="73" t="s">
        <v>422</v>
      </c>
      <c r="F68" s="73" t="s">
        <v>466</v>
      </c>
      <c r="G68" s="74">
        <v>35034</v>
      </c>
      <c r="H68" s="76">
        <v>14000</v>
      </c>
    </row>
    <row r="69" spans="1:8" x14ac:dyDescent="0.3">
      <c r="A69" s="72">
        <v>69</v>
      </c>
      <c r="B69" s="73" t="s">
        <v>488</v>
      </c>
      <c r="C69" s="73" t="s">
        <v>472</v>
      </c>
      <c r="D69" s="73" t="s">
        <v>384</v>
      </c>
      <c r="E69" s="73" t="s">
        <v>422</v>
      </c>
      <c r="F69" s="73" t="s">
        <v>466</v>
      </c>
      <c r="G69" s="74">
        <v>34761</v>
      </c>
      <c r="H69" s="76">
        <v>14000</v>
      </c>
    </row>
    <row r="70" spans="1:8" x14ac:dyDescent="0.3">
      <c r="A70" s="72">
        <v>70</v>
      </c>
      <c r="B70" s="73" t="s">
        <v>404</v>
      </c>
      <c r="C70" s="73" t="s">
        <v>405</v>
      </c>
      <c r="D70" s="73" t="s">
        <v>367</v>
      </c>
      <c r="E70" s="73" t="s">
        <v>90</v>
      </c>
      <c r="F70" s="73" t="s">
        <v>372</v>
      </c>
      <c r="G70" s="74">
        <v>34762</v>
      </c>
      <c r="H70" s="76">
        <v>14000</v>
      </c>
    </row>
    <row r="71" spans="1:8" x14ac:dyDescent="0.3">
      <c r="A71" s="72">
        <v>71</v>
      </c>
      <c r="B71" s="73" t="s">
        <v>571</v>
      </c>
      <c r="C71" s="73" t="s">
        <v>572</v>
      </c>
      <c r="D71" s="73" t="s">
        <v>391</v>
      </c>
      <c r="E71" s="73" t="s">
        <v>547</v>
      </c>
      <c r="F71" s="73" t="s">
        <v>573</v>
      </c>
      <c r="G71" s="74">
        <v>34763</v>
      </c>
      <c r="H71" s="76">
        <v>14000</v>
      </c>
    </row>
    <row r="72" spans="1:8" x14ac:dyDescent="0.3">
      <c r="A72" s="72">
        <v>72</v>
      </c>
      <c r="B72" s="73" t="s">
        <v>534</v>
      </c>
      <c r="C72" s="73" t="s">
        <v>455</v>
      </c>
      <c r="D72" s="73" t="s">
        <v>391</v>
      </c>
      <c r="E72" s="73" t="s">
        <v>506</v>
      </c>
      <c r="F72" s="73" t="s">
        <v>519</v>
      </c>
      <c r="G72" s="74">
        <v>32438</v>
      </c>
      <c r="H72" s="76">
        <v>17500</v>
      </c>
    </row>
    <row r="73" spans="1:8" x14ac:dyDescent="0.3">
      <c r="A73" s="72">
        <v>73</v>
      </c>
      <c r="B73" s="73" t="s">
        <v>489</v>
      </c>
      <c r="C73" s="73" t="s">
        <v>490</v>
      </c>
      <c r="D73" s="73" t="s">
        <v>397</v>
      </c>
      <c r="E73" s="73" t="s">
        <v>422</v>
      </c>
      <c r="F73" s="73" t="s">
        <v>447</v>
      </c>
      <c r="G73" s="74">
        <v>32439</v>
      </c>
      <c r="H73" s="76">
        <v>17500</v>
      </c>
    </row>
    <row r="74" spans="1:8" x14ac:dyDescent="0.3">
      <c r="A74" s="72">
        <v>74</v>
      </c>
      <c r="B74" s="73" t="s">
        <v>406</v>
      </c>
      <c r="C74" s="73" t="s">
        <v>407</v>
      </c>
      <c r="D74" s="73" t="s">
        <v>363</v>
      </c>
      <c r="E74" s="73" t="s">
        <v>90</v>
      </c>
      <c r="F74" s="73" t="s">
        <v>368</v>
      </c>
      <c r="G74" s="74">
        <v>32440</v>
      </c>
      <c r="H74" s="76">
        <v>17500</v>
      </c>
    </row>
    <row r="75" spans="1:8" x14ac:dyDescent="0.3">
      <c r="A75" s="72">
        <v>75</v>
      </c>
      <c r="B75" s="73" t="s">
        <v>409</v>
      </c>
      <c r="C75" s="73" t="s">
        <v>410</v>
      </c>
      <c r="D75" s="73" t="s">
        <v>375</v>
      </c>
      <c r="E75" s="73" t="s">
        <v>90</v>
      </c>
      <c r="F75" s="73" t="s">
        <v>372</v>
      </c>
      <c r="G75" s="74">
        <v>32441</v>
      </c>
      <c r="H75" s="76">
        <v>17500</v>
      </c>
    </row>
    <row r="76" spans="1:8" x14ac:dyDescent="0.3">
      <c r="A76" s="72">
        <v>76</v>
      </c>
      <c r="B76" s="73" t="s">
        <v>574</v>
      </c>
      <c r="C76" s="73" t="s">
        <v>394</v>
      </c>
      <c r="D76" s="73" t="s">
        <v>397</v>
      </c>
      <c r="E76" s="73" t="s">
        <v>547</v>
      </c>
      <c r="F76" s="73" t="s">
        <v>573</v>
      </c>
      <c r="G76" s="74">
        <v>32442</v>
      </c>
      <c r="H76" s="76">
        <v>17500</v>
      </c>
    </row>
    <row r="77" spans="1:8" x14ac:dyDescent="0.3">
      <c r="A77" s="72">
        <v>77</v>
      </c>
      <c r="B77" s="73" t="s">
        <v>491</v>
      </c>
      <c r="C77" s="73" t="s">
        <v>485</v>
      </c>
      <c r="D77" s="73" t="s">
        <v>391</v>
      </c>
      <c r="E77" s="73" t="s">
        <v>422</v>
      </c>
      <c r="F77" s="73" t="s">
        <v>385</v>
      </c>
      <c r="G77" s="74">
        <v>32443</v>
      </c>
      <c r="H77" s="76">
        <v>17500</v>
      </c>
    </row>
    <row r="78" spans="1:8" x14ac:dyDescent="0.3">
      <c r="A78" s="72">
        <v>78</v>
      </c>
      <c r="B78" s="73" t="s">
        <v>575</v>
      </c>
      <c r="C78" s="73" t="s">
        <v>576</v>
      </c>
      <c r="D78" s="73" t="s">
        <v>363</v>
      </c>
      <c r="E78" s="73" t="s">
        <v>547</v>
      </c>
      <c r="F78" s="73" t="s">
        <v>559</v>
      </c>
      <c r="G78" s="74">
        <v>32444</v>
      </c>
      <c r="H78" s="76">
        <v>17500</v>
      </c>
    </row>
    <row r="79" spans="1:8" x14ac:dyDescent="0.3">
      <c r="A79" s="72">
        <v>79</v>
      </c>
      <c r="B79" s="73" t="s">
        <v>492</v>
      </c>
      <c r="C79" s="73" t="s">
        <v>493</v>
      </c>
      <c r="D79" s="73" t="s">
        <v>367</v>
      </c>
      <c r="E79" s="73" t="s">
        <v>422</v>
      </c>
      <c r="F79" s="73" t="s">
        <v>385</v>
      </c>
      <c r="G79" s="74">
        <v>32445</v>
      </c>
      <c r="H79" s="76">
        <v>17500</v>
      </c>
    </row>
    <row r="80" spans="1:8" x14ac:dyDescent="0.3">
      <c r="A80" s="72">
        <v>80</v>
      </c>
      <c r="B80" s="73" t="s">
        <v>494</v>
      </c>
      <c r="C80" s="73" t="s">
        <v>495</v>
      </c>
      <c r="D80" s="73" t="s">
        <v>367</v>
      </c>
      <c r="E80" s="73" t="s">
        <v>422</v>
      </c>
      <c r="F80" s="73" t="s">
        <v>423</v>
      </c>
      <c r="G80" s="74">
        <v>32446</v>
      </c>
      <c r="H80" s="76">
        <v>17500</v>
      </c>
    </row>
    <row r="81" spans="1:8" x14ac:dyDescent="0.3">
      <c r="A81" s="72">
        <v>81</v>
      </c>
      <c r="B81" s="73" t="s">
        <v>535</v>
      </c>
      <c r="C81" s="73" t="s">
        <v>536</v>
      </c>
      <c r="D81" s="73" t="s">
        <v>397</v>
      </c>
      <c r="E81" s="73" t="s">
        <v>506</v>
      </c>
      <c r="F81" s="73" t="s">
        <v>526</v>
      </c>
      <c r="G81" s="74">
        <v>32447</v>
      </c>
      <c r="H81" s="76">
        <v>17500</v>
      </c>
    </row>
    <row r="82" spans="1:8" x14ac:dyDescent="0.3">
      <c r="A82" s="72">
        <v>82</v>
      </c>
      <c r="B82" s="73" t="s">
        <v>412</v>
      </c>
      <c r="C82" s="73" t="s">
        <v>413</v>
      </c>
      <c r="D82" s="73" t="s">
        <v>391</v>
      </c>
      <c r="E82" s="73" t="s">
        <v>90</v>
      </c>
      <c r="F82" s="73" t="s">
        <v>364</v>
      </c>
      <c r="G82" s="74">
        <v>32448</v>
      </c>
      <c r="H82" s="76">
        <v>17500</v>
      </c>
    </row>
    <row r="83" spans="1:8" x14ac:dyDescent="0.3">
      <c r="A83" s="72">
        <v>83</v>
      </c>
      <c r="B83" s="73" t="s">
        <v>496</v>
      </c>
      <c r="C83" s="73" t="s">
        <v>485</v>
      </c>
      <c r="D83" s="73" t="s">
        <v>397</v>
      </c>
      <c r="E83" s="73" t="s">
        <v>422</v>
      </c>
      <c r="F83" s="73" t="s">
        <v>463</v>
      </c>
      <c r="G83" s="74">
        <v>36221</v>
      </c>
      <c r="H83" s="76">
        <v>7000</v>
      </c>
    </row>
    <row r="84" spans="1:8" x14ac:dyDescent="0.3">
      <c r="A84" s="72">
        <v>84</v>
      </c>
      <c r="B84" s="73" t="s">
        <v>415</v>
      </c>
      <c r="C84" s="73" t="s">
        <v>416</v>
      </c>
      <c r="D84" s="73" t="s">
        <v>391</v>
      </c>
      <c r="E84" s="73" t="s">
        <v>90</v>
      </c>
      <c r="F84" s="73" t="s">
        <v>372</v>
      </c>
      <c r="G84" s="74">
        <v>36222</v>
      </c>
      <c r="H84" s="76">
        <v>7000</v>
      </c>
    </row>
    <row r="85" spans="1:8" x14ac:dyDescent="0.3">
      <c r="A85" s="72">
        <v>85</v>
      </c>
      <c r="B85" s="73" t="s">
        <v>497</v>
      </c>
      <c r="C85" s="73" t="s">
        <v>498</v>
      </c>
      <c r="D85" s="73" t="s">
        <v>391</v>
      </c>
      <c r="E85" s="73" t="s">
        <v>422</v>
      </c>
      <c r="F85" s="73" t="s">
        <v>436</v>
      </c>
      <c r="G85" s="74">
        <v>35809</v>
      </c>
      <c r="H85" s="76">
        <v>7000</v>
      </c>
    </row>
    <row r="86" spans="1:8" x14ac:dyDescent="0.3">
      <c r="A86" s="72">
        <v>86</v>
      </c>
      <c r="B86" s="73" t="s">
        <v>499</v>
      </c>
      <c r="C86" s="73" t="s">
        <v>377</v>
      </c>
      <c r="D86" s="73" t="s">
        <v>397</v>
      </c>
      <c r="E86" s="73" t="s">
        <v>422</v>
      </c>
      <c r="F86" s="73" t="s">
        <v>442</v>
      </c>
      <c r="G86" s="74">
        <v>35810</v>
      </c>
      <c r="H86" s="76">
        <v>17500</v>
      </c>
    </row>
    <row r="87" spans="1:8" x14ac:dyDescent="0.3">
      <c r="A87" s="72">
        <v>87</v>
      </c>
      <c r="B87" s="73" t="s">
        <v>537</v>
      </c>
      <c r="C87" s="73" t="s">
        <v>538</v>
      </c>
      <c r="D87" s="73" t="s">
        <v>367</v>
      </c>
      <c r="E87" s="73" t="s">
        <v>506</v>
      </c>
      <c r="F87" s="73" t="s">
        <v>507</v>
      </c>
      <c r="G87" s="74">
        <v>35811</v>
      </c>
      <c r="H87" s="76">
        <v>17500</v>
      </c>
    </row>
    <row r="88" spans="1:8" x14ac:dyDescent="0.3">
      <c r="A88" s="72">
        <v>88</v>
      </c>
      <c r="B88" s="73" t="s">
        <v>577</v>
      </c>
      <c r="C88" s="73" t="s">
        <v>578</v>
      </c>
      <c r="D88" s="73" t="s">
        <v>367</v>
      </c>
      <c r="E88" s="73" t="s">
        <v>547</v>
      </c>
      <c r="F88" s="73" t="s">
        <v>548</v>
      </c>
      <c r="G88" s="74">
        <v>35794</v>
      </c>
      <c r="H88" s="76">
        <v>7875</v>
      </c>
    </row>
    <row r="89" spans="1:8" x14ac:dyDescent="0.3">
      <c r="A89" s="72">
        <v>89</v>
      </c>
      <c r="B89" s="73" t="s">
        <v>500</v>
      </c>
      <c r="C89" s="73" t="s">
        <v>501</v>
      </c>
      <c r="D89" s="73" t="s">
        <v>363</v>
      </c>
      <c r="E89" s="73" t="s">
        <v>422</v>
      </c>
      <c r="F89" s="73" t="s">
        <v>463</v>
      </c>
      <c r="G89" s="74">
        <v>28907</v>
      </c>
      <c r="H89" s="76">
        <v>22750</v>
      </c>
    </row>
    <row r="90" spans="1:8" x14ac:dyDescent="0.3">
      <c r="A90" s="72">
        <v>90</v>
      </c>
      <c r="B90" s="73" t="s">
        <v>502</v>
      </c>
      <c r="C90" s="73" t="s">
        <v>468</v>
      </c>
      <c r="D90" s="73" t="s">
        <v>391</v>
      </c>
      <c r="E90" s="73" t="s">
        <v>422</v>
      </c>
      <c r="F90" s="73" t="s">
        <v>447</v>
      </c>
      <c r="G90" s="74">
        <v>29226</v>
      </c>
      <c r="H90" s="76">
        <v>22750</v>
      </c>
    </row>
    <row r="91" spans="1:8" x14ac:dyDescent="0.3">
      <c r="A91" s="72">
        <v>91</v>
      </c>
      <c r="B91" s="73" t="s">
        <v>417</v>
      </c>
      <c r="C91" s="73" t="s">
        <v>418</v>
      </c>
      <c r="D91" s="73" t="s">
        <v>363</v>
      </c>
      <c r="E91" s="73" t="s">
        <v>90</v>
      </c>
      <c r="F91" s="73" t="s">
        <v>372</v>
      </c>
      <c r="G91" s="74">
        <v>29172</v>
      </c>
      <c r="H91" s="76">
        <v>22750</v>
      </c>
    </row>
    <row r="92" spans="1:8" x14ac:dyDescent="0.3">
      <c r="A92" s="72">
        <v>92</v>
      </c>
      <c r="B92" s="73" t="s">
        <v>201</v>
      </c>
      <c r="C92" s="73" t="s">
        <v>419</v>
      </c>
      <c r="D92" s="73" t="s">
        <v>367</v>
      </c>
      <c r="E92" s="73" t="s">
        <v>90</v>
      </c>
      <c r="F92" s="73" t="s">
        <v>398</v>
      </c>
      <c r="G92" s="74">
        <v>32603</v>
      </c>
      <c r="H92" s="76">
        <v>17325</v>
      </c>
    </row>
    <row r="93" spans="1:8" x14ac:dyDescent="0.3">
      <c r="A93" s="72">
        <v>93</v>
      </c>
      <c r="B93" s="73" t="s">
        <v>539</v>
      </c>
      <c r="C93" s="73" t="s">
        <v>374</v>
      </c>
      <c r="D93" s="73" t="s">
        <v>363</v>
      </c>
      <c r="E93" s="73" t="s">
        <v>506</v>
      </c>
      <c r="F93" s="73" t="s">
        <v>515</v>
      </c>
      <c r="G93" s="74">
        <v>32604</v>
      </c>
      <c r="H93" s="76">
        <v>17325</v>
      </c>
    </row>
    <row r="94" spans="1:8" x14ac:dyDescent="0.3">
      <c r="A94" s="72">
        <v>94</v>
      </c>
      <c r="B94" s="73" t="s">
        <v>579</v>
      </c>
      <c r="C94" s="73" t="s">
        <v>580</v>
      </c>
      <c r="D94" s="73" t="s">
        <v>367</v>
      </c>
      <c r="E94" s="73" t="s">
        <v>547</v>
      </c>
      <c r="F94" s="73" t="s">
        <v>561</v>
      </c>
      <c r="G94" s="74">
        <v>32605</v>
      </c>
      <c r="H94" s="76">
        <v>17325</v>
      </c>
    </row>
    <row r="95" spans="1:8" x14ac:dyDescent="0.3">
      <c r="A95" s="72">
        <v>95</v>
      </c>
      <c r="B95" s="73" t="s">
        <v>540</v>
      </c>
      <c r="C95" s="73" t="s">
        <v>459</v>
      </c>
      <c r="D95" s="73" t="s">
        <v>367</v>
      </c>
      <c r="E95" s="73" t="s">
        <v>506</v>
      </c>
      <c r="F95" s="73" t="s">
        <v>515</v>
      </c>
      <c r="G95" s="74">
        <v>32606</v>
      </c>
      <c r="H95" s="76">
        <v>17325</v>
      </c>
    </row>
    <row r="96" spans="1:8" x14ac:dyDescent="0.3">
      <c r="A96" s="72">
        <v>96</v>
      </c>
      <c r="B96" s="73" t="s">
        <v>425</v>
      </c>
      <c r="C96" s="73" t="s">
        <v>325</v>
      </c>
      <c r="D96" s="73" t="s">
        <v>391</v>
      </c>
      <c r="E96" s="73" t="s">
        <v>547</v>
      </c>
      <c r="F96" s="73" t="s">
        <v>568</v>
      </c>
      <c r="G96" s="74">
        <v>32607</v>
      </c>
      <c r="H96" s="76">
        <v>17325</v>
      </c>
    </row>
    <row r="97" spans="1:8" x14ac:dyDescent="0.3">
      <c r="A97" s="72">
        <v>97</v>
      </c>
      <c r="B97" s="73" t="s">
        <v>541</v>
      </c>
      <c r="C97" s="73" t="s">
        <v>542</v>
      </c>
      <c r="D97" s="73" t="s">
        <v>391</v>
      </c>
      <c r="E97" s="73" t="s">
        <v>506</v>
      </c>
      <c r="F97" s="73" t="s">
        <v>531</v>
      </c>
      <c r="G97" s="74">
        <v>32608</v>
      </c>
      <c r="H97" s="76">
        <v>17325</v>
      </c>
    </row>
    <row r="98" spans="1:8" x14ac:dyDescent="0.3">
      <c r="A98" s="72">
        <v>98</v>
      </c>
      <c r="B98" s="73" t="s">
        <v>503</v>
      </c>
      <c r="C98" s="73" t="s">
        <v>504</v>
      </c>
      <c r="D98" s="73" t="s">
        <v>397</v>
      </c>
      <c r="E98" s="73" t="s">
        <v>422</v>
      </c>
      <c r="F98" s="73" t="s">
        <v>385</v>
      </c>
      <c r="G98" s="74">
        <v>32609</v>
      </c>
      <c r="H98" s="76">
        <v>17325</v>
      </c>
    </row>
    <row r="99" spans="1:8" x14ac:dyDescent="0.3">
      <c r="A99" s="72">
        <v>99</v>
      </c>
      <c r="B99" s="73" t="s">
        <v>581</v>
      </c>
      <c r="C99" s="73" t="s">
        <v>485</v>
      </c>
      <c r="D99" s="73" t="s">
        <v>371</v>
      </c>
      <c r="E99" s="73" t="s">
        <v>547</v>
      </c>
      <c r="F99" s="73" t="s">
        <v>559</v>
      </c>
      <c r="G99" s="74">
        <v>35794</v>
      </c>
      <c r="H99" s="76">
        <v>10500</v>
      </c>
    </row>
    <row r="100" spans="1:8" x14ac:dyDescent="0.3">
      <c r="A100" s="72">
        <v>100</v>
      </c>
      <c r="B100" s="73" t="s">
        <v>543</v>
      </c>
      <c r="C100" s="73" t="s">
        <v>544</v>
      </c>
      <c r="D100" s="73" t="s">
        <v>371</v>
      </c>
      <c r="E100" s="73" t="s">
        <v>506</v>
      </c>
      <c r="F100" s="73" t="s">
        <v>507</v>
      </c>
      <c r="G100" s="74">
        <v>36193</v>
      </c>
      <c r="H100" s="76">
        <v>7875</v>
      </c>
    </row>
    <row r="101" spans="1:8" x14ac:dyDescent="0.3">
      <c r="A101" s="72">
        <v>101</v>
      </c>
      <c r="B101" s="73" t="s">
        <v>956</v>
      </c>
      <c r="C101" s="73" t="s">
        <v>957</v>
      </c>
      <c r="D101" s="73" t="s">
        <v>954</v>
      </c>
      <c r="E101" s="73" t="s">
        <v>90</v>
      </c>
      <c r="F101" s="73" t="s">
        <v>364</v>
      </c>
      <c r="G101" s="74">
        <v>28126</v>
      </c>
      <c r="H101" s="76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8.75" x14ac:dyDescent="0.3"/>
  <cols>
    <col min="1" max="1" width="11.5" bestFit="1" customWidth="1"/>
  </cols>
  <sheetData>
    <row r="1" spans="1:7" x14ac:dyDescent="0.3">
      <c r="A1" t="s">
        <v>10</v>
      </c>
    </row>
    <row r="2" spans="1:7" ht="19.5" thickBot="1" x14ac:dyDescent="0.35">
      <c r="A2" s="37" t="s">
        <v>955</v>
      </c>
    </row>
    <row r="3" spans="1:7" ht="24" thickBot="1" x14ac:dyDescent="0.4">
      <c r="A3" s="156" t="s">
        <v>958</v>
      </c>
      <c r="B3" s="157"/>
      <c r="C3" s="157"/>
      <c r="D3" s="157"/>
      <c r="E3" s="157"/>
      <c r="F3" s="157"/>
      <c r="G3" s="158"/>
    </row>
    <row r="4" spans="1:7" ht="19.5" thickTop="1" x14ac:dyDescent="0.3">
      <c r="A4" s="77"/>
      <c r="B4" s="78"/>
      <c r="C4" s="78"/>
      <c r="D4" s="78"/>
      <c r="E4" s="78"/>
      <c r="F4" s="78"/>
      <c r="G4" s="79"/>
    </row>
    <row r="5" spans="1:7" ht="19.5" thickBot="1" x14ac:dyDescent="0.35">
      <c r="A5" s="80" t="s">
        <v>959</v>
      </c>
      <c r="B5" s="81"/>
      <c r="C5" s="82"/>
      <c r="D5" s="78"/>
      <c r="E5" s="78"/>
      <c r="F5" s="78"/>
      <c r="G5" s="79"/>
    </row>
    <row r="6" spans="1:7" ht="19.5" thickTop="1" x14ac:dyDescent="0.3">
      <c r="A6" s="80"/>
      <c r="B6" s="83"/>
      <c r="C6" s="78"/>
      <c r="D6" s="78"/>
      <c r="E6" s="78"/>
      <c r="F6" s="78"/>
      <c r="G6" s="79"/>
    </row>
    <row r="7" spans="1:7" ht="19.5" thickBot="1" x14ac:dyDescent="0.35">
      <c r="A7" s="80" t="s">
        <v>596</v>
      </c>
      <c r="B7" s="84"/>
      <c r="C7" s="82"/>
      <c r="D7" s="78"/>
      <c r="E7" s="78"/>
      <c r="F7" s="78"/>
      <c r="G7" s="79"/>
    </row>
    <row r="8" spans="1:7" ht="19.5" thickTop="1" x14ac:dyDescent="0.3">
      <c r="A8" s="80"/>
      <c r="B8" s="83"/>
      <c r="C8" s="78"/>
      <c r="D8" s="78"/>
      <c r="E8" s="78"/>
      <c r="F8" s="78"/>
      <c r="G8" s="79"/>
    </row>
    <row r="9" spans="1:7" ht="19.5" thickBot="1" x14ac:dyDescent="0.35">
      <c r="A9" s="80" t="s">
        <v>84</v>
      </c>
      <c r="B9" s="84"/>
      <c r="C9" s="82"/>
      <c r="D9" s="78"/>
      <c r="E9" s="78"/>
      <c r="F9" s="78"/>
      <c r="G9" s="79"/>
    </row>
    <row r="10" spans="1:7" ht="19.5" thickTop="1" x14ac:dyDescent="0.3">
      <c r="A10" s="80"/>
      <c r="B10" s="83"/>
      <c r="C10" s="78"/>
      <c r="D10" s="78"/>
      <c r="E10" s="78"/>
      <c r="F10" s="78"/>
      <c r="G10" s="79"/>
    </row>
    <row r="11" spans="1:7" ht="19.5" thickBot="1" x14ac:dyDescent="0.35">
      <c r="A11" s="80" t="s">
        <v>664</v>
      </c>
      <c r="B11" s="84"/>
      <c r="C11" s="82"/>
      <c r="D11" s="78"/>
      <c r="E11" s="78"/>
      <c r="F11" s="78"/>
      <c r="G11" s="79"/>
    </row>
    <row r="12" spans="1:7" ht="19.5" thickTop="1" x14ac:dyDescent="0.3">
      <c r="A12" s="80"/>
      <c r="B12" s="83"/>
      <c r="C12" s="78"/>
      <c r="D12" s="78"/>
      <c r="E12" s="78"/>
      <c r="F12" s="78"/>
      <c r="G12" s="79"/>
    </row>
    <row r="13" spans="1:7" ht="19.5" thickBot="1" x14ac:dyDescent="0.35">
      <c r="A13" s="80" t="s">
        <v>252</v>
      </c>
      <c r="B13" s="85"/>
      <c r="C13" s="82"/>
      <c r="D13" s="78"/>
      <c r="E13" s="78"/>
      <c r="F13" s="78"/>
      <c r="G13" s="79"/>
    </row>
    <row r="14" spans="1:7" ht="19.5" thickTop="1" x14ac:dyDescent="0.3">
      <c r="A14" s="77"/>
      <c r="B14" s="78"/>
      <c r="C14" s="78"/>
      <c r="D14" s="78"/>
      <c r="E14" s="78"/>
      <c r="F14" s="78"/>
      <c r="G14" s="79"/>
    </row>
    <row r="15" spans="1:7" ht="19.5" thickBot="1" x14ac:dyDescent="0.35">
      <c r="A15" s="86"/>
      <c r="B15" s="87"/>
      <c r="C15" s="87"/>
      <c r="D15" s="87"/>
      <c r="E15" s="87"/>
      <c r="F15" s="87"/>
      <c r="G15" s="88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7" zoomScale="80" zoomScaleNormal="80" workbookViewId="0">
      <selection activeCell="G43" sqref="G43"/>
    </sheetView>
  </sheetViews>
  <sheetFormatPr defaultColWidth="8.796875" defaultRowHeight="18.75" x14ac:dyDescent="0.3"/>
  <cols>
    <col min="1" max="1" width="10.3984375" style="90" bestFit="1" customWidth="1"/>
    <col min="2" max="16384" width="8.796875" style="90"/>
  </cols>
  <sheetData>
    <row r="5" spans="1:1" x14ac:dyDescent="0.3">
      <c r="A5" s="89" t="s">
        <v>955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topLeftCell="C1" workbookViewId="0">
      <selection activeCell="V3" sqref="V3"/>
    </sheetView>
  </sheetViews>
  <sheetFormatPr defaultRowHeight="18.75" x14ac:dyDescent="0.3"/>
  <cols>
    <col min="1" max="1" width="10.3984375" bestFit="1" customWidth="1"/>
    <col min="2" max="2" width="14.3984375" customWidth="1"/>
  </cols>
  <sheetData>
    <row r="1" spans="1:21" x14ac:dyDescent="0.3">
      <c r="A1" s="89"/>
      <c r="B1" s="89" t="s">
        <v>955</v>
      </c>
    </row>
    <row r="3" spans="1:21" ht="19.5" thickBot="1" x14ac:dyDescent="0.35">
      <c r="A3" s="67" t="s">
        <v>356</v>
      </c>
      <c r="B3" s="67" t="s">
        <v>317</v>
      </c>
      <c r="C3" s="67" t="s">
        <v>319</v>
      </c>
      <c r="D3" s="67" t="s">
        <v>357</v>
      </c>
      <c r="E3" s="67" t="s">
        <v>84</v>
      </c>
      <c r="F3" s="67" t="s">
        <v>358</v>
      </c>
      <c r="G3" s="67" t="s">
        <v>359</v>
      </c>
      <c r="H3" s="67" t="s">
        <v>252</v>
      </c>
      <c r="K3" s="127" t="s">
        <v>748</v>
      </c>
      <c r="L3" s="127" t="s">
        <v>960</v>
      </c>
      <c r="M3" s="127" t="s">
        <v>961</v>
      </c>
      <c r="N3" s="127" t="s">
        <v>962</v>
      </c>
      <c r="O3" s="127" t="s">
        <v>963</v>
      </c>
      <c r="Q3" t="s">
        <v>748</v>
      </c>
      <c r="R3" t="s">
        <v>960</v>
      </c>
      <c r="S3" t="s">
        <v>961</v>
      </c>
      <c r="T3" t="s">
        <v>962</v>
      </c>
      <c r="U3" t="s">
        <v>963</v>
      </c>
    </row>
    <row r="4" spans="1:21" x14ac:dyDescent="0.3">
      <c r="A4" s="68">
        <v>2</v>
      </c>
      <c r="B4" s="69" t="s">
        <v>361</v>
      </c>
      <c r="C4" s="69" t="s">
        <v>362</v>
      </c>
      <c r="D4" s="69" t="s">
        <v>363</v>
      </c>
      <c r="E4" s="69" t="s">
        <v>221</v>
      </c>
      <c r="F4" s="69" t="s">
        <v>364</v>
      </c>
      <c r="G4" s="70">
        <v>28126</v>
      </c>
      <c r="H4" s="71">
        <v>17500</v>
      </c>
      <c r="K4" s="128" t="s">
        <v>964</v>
      </c>
      <c r="L4" s="129">
        <v>99</v>
      </c>
      <c r="M4" s="129">
        <v>75</v>
      </c>
      <c r="N4" s="129">
        <v>69</v>
      </c>
      <c r="O4" s="129">
        <v>75</v>
      </c>
      <c r="Q4" t="s">
        <v>964</v>
      </c>
      <c r="R4">
        <v>99</v>
      </c>
      <c r="S4">
        <v>75</v>
      </c>
      <c r="T4">
        <v>69</v>
      </c>
      <c r="U4">
        <v>75</v>
      </c>
    </row>
    <row r="5" spans="1:21" x14ac:dyDescent="0.3">
      <c r="A5" s="68">
        <v>10</v>
      </c>
      <c r="B5" s="69" t="s">
        <v>365</v>
      </c>
      <c r="C5" s="69" t="s">
        <v>366</v>
      </c>
      <c r="D5" s="69" t="s">
        <v>367</v>
      </c>
      <c r="E5" s="69" t="s">
        <v>221</v>
      </c>
      <c r="F5" s="69" t="s">
        <v>368</v>
      </c>
      <c r="G5" s="70">
        <v>28326</v>
      </c>
      <c r="H5" s="71">
        <v>15750</v>
      </c>
      <c r="K5" s="128" t="s">
        <v>321</v>
      </c>
      <c r="L5" s="129">
        <v>66</v>
      </c>
      <c r="M5" s="129">
        <v>96</v>
      </c>
      <c r="N5" s="129">
        <v>52</v>
      </c>
      <c r="O5" s="129">
        <v>88</v>
      </c>
      <c r="Q5" t="s">
        <v>321</v>
      </c>
      <c r="R5">
        <v>66</v>
      </c>
      <c r="S5">
        <v>96</v>
      </c>
      <c r="T5">
        <v>52</v>
      </c>
      <c r="U5">
        <v>88</v>
      </c>
    </row>
    <row r="6" spans="1:21" x14ac:dyDescent="0.3">
      <c r="A6" s="68">
        <v>13</v>
      </c>
      <c r="B6" s="69" t="s">
        <v>369</v>
      </c>
      <c r="C6" s="69" t="s">
        <v>370</v>
      </c>
      <c r="D6" s="69" t="s">
        <v>371</v>
      </c>
      <c r="E6" s="69" t="s">
        <v>221</v>
      </c>
      <c r="F6" s="69" t="s">
        <v>372</v>
      </c>
      <c r="G6" s="70">
        <v>31027</v>
      </c>
      <c r="H6" s="71">
        <v>19250</v>
      </c>
      <c r="K6" s="128" t="s">
        <v>965</v>
      </c>
      <c r="L6" s="129">
        <v>41</v>
      </c>
      <c r="M6" s="129">
        <v>75</v>
      </c>
      <c r="N6" s="129">
        <v>41</v>
      </c>
      <c r="O6" s="129">
        <v>52</v>
      </c>
      <c r="Q6" t="s">
        <v>965</v>
      </c>
      <c r="R6">
        <v>41</v>
      </c>
      <c r="S6">
        <v>75</v>
      </c>
      <c r="T6">
        <v>41</v>
      </c>
      <c r="U6">
        <v>52</v>
      </c>
    </row>
    <row r="7" spans="1:21" x14ac:dyDescent="0.3">
      <c r="A7" s="68">
        <v>17</v>
      </c>
      <c r="B7" s="69" t="s">
        <v>373</v>
      </c>
      <c r="C7" s="69" t="s">
        <v>374</v>
      </c>
      <c r="D7" s="69" t="s">
        <v>375</v>
      </c>
      <c r="E7" s="69" t="s">
        <v>221</v>
      </c>
      <c r="F7" s="69" t="s">
        <v>364</v>
      </c>
      <c r="G7" s="70">
        <v>30376</v>
      </c>
      <c r="H7" s="71">
        <v>15750</v>
      </c>
      <c r="K7" s="128" t="s">
        <v>966</v>
      </c>
      <c r="L7" s="129">
        <v>23</v>
      </c>
      <c r="M7" s="129">
        <v>52</v>
      </c>
      <c r="N7" s="129">
        <v>11</v>
      </c>
      <c r="O7" s="129">
        <v>42</v>
      </c>
      <c r="Q7" t="s">
        <v>966</v>
      </c>
      <c r="R7">
        <v>23</v>
      </c>
      <c r="S7">
        <v>52</v>
      </c>
      <c r="T7">
        <v>11</v>
      </c>
      <c r="U7">
        <v>42</v>
      </c>
    </row>
    <row r="8" spans="1:21" x14ac:dyDescent="0.3">
      <c r="A8" s="68">
        <v>21</v>
      </c>
      <c r="B8" s="69" t="s">
        <v>376</v>
      </c>
      <c r="C8" s="69" t="s">
        <v>377</v>
      </c>
      <c r="D8" s="69" t="s">
        <v>367</v>
      </c>
      <c r="E8" s="69" t="s">
        <v>221</v>
      </c>
      <c r="F8" s="69" t="s">
        <v>378</v>
      </c>
      <c r="G8" s="70">
        <v>36317</v>
      </c>
      <c r="H8" s="71">
        <v>7875</v>
      </c>
    </row>
    <row r="9" spans="1:21" x14ac:dyDescent="0.3">
      <c r="A9" s="68">
        <v>26</v>
      </c>
      <c r="B9" s="69" t="s">
        <v>379</v>
      </c>
      <c r="C9" s="69" t="s">
        <v>380</v>
      </c>
      <c r="D9" s="69" t="s">
        <v>363</v>
      </c>
      <c r="E9" s="69" t="s">
        <v>221</v>
      </c>
      <c r="F9" s="69" t="s">
        <v>364</v>
      </c>
      <c r="G9" s="70">
        <v>30225</v>
      </c>
      <c r="H9" s="71">
        <v>19250</v>
      </c>
    </row>
    <row r="10" spans="1:21" x14ac:dyDescent="0.3">
      <c r="A10" s="68">
        <v>30</v>
      </c>
      <c r="B10" s="69" t="s">
        <v>382</v>
      </c>
      <c r="C10" s="69" t="s">
        <v>383</v>
      </c>
      <c r="D10" s="69" t="s">
        <v>384</v>
      </c>
      <c r="E10" s="69" t="s">
        <v>221</v>
      </c>
      <c r="F10" s="69" t="s">
        <v>378</v>
      </c>
      <c r="G10" s="70">
        <v>32435</v>
      </c>
      <c r="H10" s="71">
        <v>14175</v>
      </c>
    </row>
    <row r="11" spans="1:21" x14ac:dyDescent="0.3">
      <c r="A11" s="68">
        <v>41</v>
      </c>
      <c r="B11" s="69" t="s">
        <v>386</v>
      </c>
      <c r="C11" s="69"/>
      <c r="D11" s="69" t="s">
        <v>375</v>
      </c>
      <c r="E11" s="69" t="s">
        <v>221</v>
      </c>
      <c r="F11" s="69" t="s">
        <v>368</v>
      </c>
      <c r="G11" s="70">
        <v>35595</v>
      </c>
      <c r="H11" s="71">
        <v>7875</v>
      </c>
    </row>
    <row r="12" spans="1:21" x14ac:dyDescent="0.3">
      <c r="A12" s="68">
        <v>42</v>
      </c>
      <c r="B12" s="69" t="s">
        <v>389</v>
      </c>
      <c r="C12" s="69" t="s">
        <v>390</v>
      </c>
      <c r="D12" s="69" t="s">
        <v>391</v>
      </c>
      <c r="E12" s="69" t="s">
        <v>221</v>
      </c>
      <c r="F12" s="69" t="s">
        <v>372</v>
      </c>
      <c r="G12" s="70">
        <v>33510</v>
      </c>
      <c r="H12" s="71">
        <v>13300</v>
      </c>
    </row>
    <row r="13" spans="1:21" x14ac:dyDescent="0.3">
      <c r="A13" s="68">
        <v>44</v>
      </c>
      <c r="B13" s="69" t="s">
        <v>393</v>
      </c>
      <c r="C13" s="69" t="s">
        <v>394</v>
      </c>
      <c r="D13" s="69" t="s">
        <v>384</v>
      </c>
      <c r="E13" s="69" t="s">
        <v>221</v>
      </c>
      <c r="F13" s="69" t="s">
        <v>364</v>
      </c>
      <c r="G13" s="70">
        <v>33194</v>
      </c>
      <c r="H13" s="71">
        <v>13825</v>
      </c>
    </row>
    <row r="14" spans="1:21" x14ac:dyDescent="0.3">
      <c r="A14" s="68">
        <v>54</v>
      </c>
      <c r="B14" s="69" t="s">
        <v>395</v>
      </c>
      <c r="C14" s="69" t="s">
        <v>396</v>
      </c>
      <c r="D14" s="69" t="s">
        <v>397</v>
      </c>
      <c r="E14" s="69" t="s">
        <v>221</v>
      </c>
      <c r="F14" s="69" t="s">
        <v>398</v>
      </c>
      <c r="G14" s="70">
        <v>34761</v>
      </c>
      <c r="H14" s="71">
        <v>15750</v>
      </c>
    </row>
    <row r="15" spans="1:21" x14ac:dyDescent="0.3">
      <c r="A15" s="68">
        <v>55</v>
      </c>
      <c r="B15" s="69"/>
      <c r="C15" s="69" t="s">
        <v>400</v>
      </c>
      <c r="D15" s="69" t="s">
        <v>397</v>
      </c>
      <c r="E15" s="69" t="s">
        <v>221</v>
      </c>
      <c r="F15" s="69" t="s">
        <v>401</v>
      </c>
      <c r="G15" s="70">
        <v>31717</v>
      </c>
      <c r="H15" s="71">
        <v>15750</v>
      </c>
    </row>
    <row r="16" spans="1:21" x14ac:dyDescent="0.3">
      <c r="A16" s="68">
        <v>65</v>
      </c>
      <c r="B16" s="69" t="s">
        <v>402</v>
      </c>
      <c r="C16" s="69" t="s">
        <v>403</v>
      </c>
      <c r="D16" s="69" t="s">
        <v>397</v>
      </c>
      <c r="E16" s="69"/>
      <c r="F16" s="69" t="s">
        <v>372</v>
      </c>
      <c r="G16" s="70">
        <v>32442</v>
      </c>
      <c r="H16" s="71">
        <v>17500</v>
      </c>
    </row>
    <row r="17" spans="1:8" x14ac:dyDescent="0.3">
      <c r="A17" s="68">
        <v>70</v>
      </c>
      <c r="B17" s="69" t="s">
        <v>404</v>
      </c>
      <c r="C17" s="69" t="s">
        <v>405</v>
      </c>
      <c r="D17" s="69" t="s">
        <v>367</v>
      </c>
      <c r="E17" s="69" t="s">
        <v>221</v>
      </c>
      <c r="F17" s="69" t="s">
        <v>372</v>
      </c>
      <c r="G17" s="70">
        <v>34762</v>
      </c>
      <c r="H17" s="71">
        <v>14000</v>
      </c>
    </row>
    <row r="18" spans="1:8" x14ac:dyDescent="0.3">
      <c r="A18" s="68">
        <v>74</v>
      </c>
      <c r="B18" s="69" t="s">
        <v>406</v>
      </c>
      <c r="C18" s="69" t="s">
        <v>407</v>
      </c>
      <c r="D18" s="69" t="s">
        <v>363</v>
      </c>
      <c r="E18" s="69" t="s">
        <v>221</v>
      </c>
      <c r="F18" s="69" t="s">
        <v>368</v>
      </c>
      <c r="G18" s="70">
        <v>32440</v>
      </c>
      <c r="H18" s="71">
        <v>17500</v>
      </c>
    </row>
    <row r="19" spans="1:8" x14ac:dyDescent="0.3">
      <c r="A19" s="68">
        <v>75</v>
      </c>
      <c r="B19" s="69" t="s">
        <v>409</v>
      </c>
      <c r="C19" s="69" t="s">
        <v>410</v>
      </c>
      <c r="D19" s="69" t="s">
        <v>375</v>
      </c>
      <c r="E19" s="69" t="s">
        <v>221</v>
      </c>
      <c r="F19" s="69" t="s">
        <v>372</v>
      </c>
      <c r="G19" s="70">
        <v>32441</v>
      </c>
      <c r="H19" s="71">
        <v>17500</v>
      </c>
    </row>
    <row r="20" spans="1:8" x14ac:dyDescent="0.3">
      <c r="A20" s="68">
        <v>82</v>
      </c>
      <c r="B20" s="69" t="s">
        <v>412</v>
      </c>
      <c r="C20" s="69" t="s">
        <v>413</v>
      </c>
      <c r="D20" s="69" t="s">
        <v>391</v>
      </c>
      <c r="E20" s="69" t="s">
        <v>221</v>
      </c>
      <c r="F20" s="69" t="s">
        <v>364</v>
      </c>
      <c r="G20" s="70">
        <v>32448</v>
      </c>
      <c r="H20" s="71">
        <v>17500</v>
      </c>
    </row>
    <row r="21" spans="1:8" x14ac:dyDescent="0.3">
      <c r="A21" s="68">
        <v>84</v>
      </c>
      <c r="B21" s="69" t="s">
        <v>415</v>
      </c>
      <c r="C21" s="69" t="s">
        <v>416</v>
      </c>
      <c r="D21" s="69" t="s">
        <v>391</v>
      </c>
      <c r="E21" s="69" t="s">
        <v>221</v>
      </c>
      <c r="F21" s="69" t="s">
        <v>372</v>
      </c>
      <c r="G21" s="70">
        <v>36222</v>
      </c>
      <c r="H21" s="71">
        <v>7000</v>
      </c>
    </row>
    <row r="22" spans="1:8" x14ac:dyDescent="0.3">
      <c r="A22" s="68">
        <v>91</v>
      </c>
      <c r="B22" s="69" t="s">
        <v>417</v>
      </c>
      <c r="C22" s="69" t="s">
        <v>418</v>
      </c>
      <c r="D22" s="69" t="s">
        <v>363</v>
      </c>
      <c r="E22" s="69" t="s">
        <v>221</v>
      </c>
      <c r="F22" s="69" t="s">
        <v>372</v>
      </c>
      <c r="G22" s="70">
        <v>29172</v>
      </c>
      <c r="H22" s="71">
        <v>22750</v>
      </c>
    </row>
    <row r="23" spans="1:8" x14ac:dyDescent="0.3">
      <c r="A23" s="68">
        <v>92</v>
      </c>
      <c r="B23" s="69" t="s">
        <v>201</v>
      </c>
      <c r="C23" s="69" t="s">
        <v>419</v>
      </c>
      <c r="D23" s="69" t="s">
        <v>367</v>
      </c>
      <c r="E23" s="69" t="s">
        <v>221</v>
      </c>
      <c r="F23" s="69" t="s">
        <v>398</v>
      </c>
      <c r="G23" s="70">
        <v>32603</v>
      </c>
      <c r="H23" s="71">
        <v>17325</v>
      </c>
    </row>
    <row r="24" spans="1:8" x14ac:dyDescent="0.3">
      <c r="A24" s="68">
        <v>1</v>
      </c>
      <c r="B24" s="69" t="s">
        <v>420</v>
      </c>
      <c r="C24" s="69" t="s">
        <v>421</v>
      </c>
      <c r="D24" s="69" t="s">
        <v>363</v>
      </c>
      <c r="E24" s="69" t="s">
        <v>422</v>
      </c>
      <c r="F24" s="69" t="s">
        <v>423</v>
      </c>
      <c r="G24" s="70">
        <v>28126</v>
      </c>
      <c r="H24" s="71">
        <v>21875</v>
      </c>
    </row>
    <row r="25" spans="1:8" x14ac:dyDescent="0.3">
      <c r="A25" s="68">
        <v>4</v>
      </c>
      <c r="B25" s="69" t="s">
        <v>425</v>
      </c>
      <c r="C25" s="69" t="s">
        <v>426</v>
      </c>
      <c r="D25" s="69" t="s">
        <v>367</v>
      </c>
      <c r="E25" s="69" t="s">
        <v>422</v>
      </c>
      <c r="F25" s="69" t="s">
        <v>385</v>
      </c>
      <c r="G25" s="70">
        <v>29183</v>
      </c>
      <c r="H25" s="71">
        <v>12250</v>
      </c>
    </row>
    <row r="26" spans="1:8" x14ac:dyDescent="0.3">
      <c r="A26" s="68">
        <v>5</v>
      </c>
      <c r="B26" s="69" t="s">
        <v>427</v>
      </c>
      <c r="C26" s="69" t="s">
        <v>428</v>
      </c>
      <c r="D26" s="69" t="s">
        <v>391</v>
      </c>
      <c r="E26" s="69" t="s">
        <v>422</v>
      </c>
      <c r="F26" s="69" t="s">
        <v>429</v>
      </c>
      <c r="G26" s="70">
        <v>32755</v>
      </c>
      <c r="H26" s="71">
        <v>21000</v>
      </c>
    </row>
    <row r="27" spans="1:8" x14ac:dyDescent="0.3">
      <c r="A27" s="68">
        <v>6</v>
      </c>
      <c r="B27" s="69" t="s">
        <v>430</v>
      </c>
      <c r="C27" s="69" t="s">
        <v>431</v>
      </c>
      <c r="D27" s="69" t="s">
        <v>391</v>
      </c>
      <c r="E27" s="69" t="s">
        <v>422</v>
      </c>
      <c r="F27" s="69" t="s">
        <v>432</v>
      </c>
      <c r="G27" s="70">
        <v>32390</v>
      </c>
      <c r="H27" s="71">
        <v>12425</v>
      </c>
    </row>
    <row r="28" spans="1:8" x14ac:dyDescent="0.3">
      <c r="A28" s="68">
        <v>8</v>
      </c>
      <c r="B28" s="69" t="s">
        <v>434</v>
      </c>
      <c r="C28" s="69" t="s">
        <v>435</v>
      </c>
      <c r="D28" s="69" t="s">
        <v>391</v>
      </c>
      <c r="E28" s="69" t="s">
        <v>422</v>
      </c>
      <c r="F28" s="69" t="s">
        <v>436</v>
      </c>
      <c r="G28" s="70">
        <v>32755</v>
      </c>
      <c r="H28" s="71">
        <v>12425</v>
      </c>
    </row>
    <row r="29" spans="1:8" x14ac:dyDescent="0.3">
      <c r="A29" s="68">
        <v>9</v>
      </c>
      <c r="B29" s="69" t="s">
        <v>437</v>
      </c>
      <c r="C29" s="69" t="s">
        <v>438</v>
      </c>
      <c r="D29" s="69" t="s">
        <v>363</v>
      </c>
      <c r="E29" s="69" t="s">
        <v>422</v>
      </c>
      <c r="F29" s="69" t="s">
        <v>439</v>
      </c>
      <c r="G29" s="70">
        <v>36506</v>
      </c>
      <c r="H29" s="71">
        <v>14875</v>
      </c>
    </row>
    <row r="30" spans="1:8" x14ac:dyDescent="0.3">
      <c r="A30" s="68">
        <v>12</v>
      </c>
      <c r="B30" s="69" t="s">
        <v>440</v>
      </c>
      <c r="C30" s="69" t="s">
        <v>441</v>
      </c>
      <c r="D30" s="69" t="s">
        <v>375</v>
      </c>
      <c r="E30" s="69" t="s">
        <v>422</v>
      </c>
      <c r="F30" s="69" t="s">
        <v>442</v>
      </c>
      <c r="G30" s="70">
        <v>30376</v>
      </c>
      <c r="H30" s="71">
        <v>21000</v>
      </c>
    </row>
    <row r="31" spans="1:8" x14ac:dyDescent="0.3">
      <c r="A31" s="68">
        <v>15</v>
      </c>
      <c r="B31" s="69" t="s">
        <v>443</v>
      </c>
      <c r="C31" s="69" t="s">
        <v>444</v>
      </c>
      <c r="D31" s="69" t="s">
        <v>384</v>
      </c>
      <c r="E31" s="69" t="s">
        <v>422</v>
      </c>
      <c r="F31" s="69" t="s">
        <v>442</v>
      </c>
      <c r="G31" s="70">
        <v>31029</v>
      </c>
      <c r="H31" s="71">
        <v>14875</v>
      </c>
    </row>
    <row r="32" spans="1:8" x14ac:dyDescent="0.3">
      <c r="A32" s="68">
        <v>16</v>
      </c>
      <c r="B32" s="69" t="s">
        <v>445</v>
      </c>
      <c r="C32" s="69" t="s">
        <v>446</v>
      </c>
      <c r="D32" s="69" t="s">
        <v>384</v>
      </c>
      <c r="E32" s="69" t="s">
        <v>422</v>
      </c>
      <c r="F32" s="69" t="s">
        <v>447</v>
      </c>
      <c r="G32" s="70">
        <v>31030</v>
      </c>
      <c r="H32" s="71">
        <v>14875</v>
      </c>
    </row>
    <row r="33" spans="1:8" x14ac:dyDescent="0.3">
      <c r="A33" s="68">
        <v>19</v>
      </c>
      <c r="B33" s="69" t="s">
        <v>448</v>
      </c>
      <c r="C33" s="69" t="s">
        <v>449</v>
      </c>
      <c r="D33" s="69" t="s">
        <v>367</v>
      </c>
      <c r="E33" s="69" t="s">
        <v>422</v>
      </c>
      <c r="F33" s="69" t="s">
        <v>432</v>
      </c>
      <c r="G33" s="70">
        <v>31637</v>
      </c>
      <c r="H33" s="71">
        <v>10500</v>
      </c>
    </row>
    <row r="34" spans="1:8" x14ac:dyDescent="0.3">
      <c r="A34" s="68">
        <v>20</v>
      </c>
      <c r="B34" s="69" t="s">
        <v>450</v>
      </c>
      <c r="C34" s="69" t="s">
        <v>451</v>
      </c>
      <c r="D34" s="69" t="s">
        <v>367</v>
      </c>
      <c r="E34" s="69" t="s">
        <v>422</v>
      </c>
      <c r="F34" s="69" t="s">
        <v>447</v>
      </c>
      <c r="G34" s="70">
        <v>36316</v>
      </c>
      <c r="H34" s="71">
        <v>5950</v>
      </c>
    </row>
    <row r="35" spans="1:8" x14ac:dyDescent="0.3">
      <c r="A35" s="68">
        <v>29</v>
      </c>
      <c r="B35" s="69" t="s">
        <v>452</v>
      </c>
      <c r="C35" s="69" t="s">
        <v>453</v>
      </c>
      <c r="D35" s="69" t="s">
        <v>375</v>
      </c>
      <c r="E35" s="69" t="s">
        <v>422</v>
      </c>
      <c r="F35" s="69" t="s">
        <v>447</v>
      </c>
      <c r="G35" s="70">
        <v>35189</v>
      </c>
      <c r="H35" s="71">
        <v>9625</v>
      </c>
    </row>
    <row r="36" spans="1:8" x14ac:dyDescent="0.3">
      <c r="A36" s="68">
        <v>31</v>
      </c>
      <c r="B36" s="69" t="s">
        <v>454</v>
      </c>
      <c r="C36" s="69" t="s">
        <v>455</v>
      </c>
      <c r="D36" s="69" t="s">
        <v>391</v>
      </c>
      <c r="E36" s="69" t="s">
        <v>422</v>
      </c>
      <c r="F36" s="69" t="s">
        <v>436</v>
      </c>
      <c r="G36" s="70">
        <v>30225</v>
      </c>
      <c r="H36" s="71">
        <v>15750</v>
      </c>
    </row>
    <row r="37" spans="1:8" x14ac:dyDescent="0.3">
      <c r="A37" s="68">
        <v>33</v>
      </c>
      <c r="B37" s="69" t="s">
        <v>456</v>
      </c>
      <c r="C37" s="69" t="s">
        <v>457</v>
      </c>
      <c r="D37" s="69" t="s">
        <v>397</v>
      </c>
      <c r="E37" s="69" t="s">
        <v>422</v>
      </c>
      <c r="F37" s="69" t="s">
        <v>439</v>
      </c>
      <c r="G37" s="70">
        <v>35618</v>
      </c>
      <c r="H37" s="71">
        <v>7000</v>
      </c>
    </row>
    <row r="38" spans="1:8" x14ac:dyDescent="0.3">
      <c r="A38" s="68">
        <v>34</v>
      </c>
      <c r="B38" s="69" t="s">
        <v>458</v>
      </c>
      <c r="C38" s="69" t="s">
        <v>459</v>
      </c>
      <c r="D38" s="69" t="s">
        <v>397</v>
      </c>
      <c r="E38" s="69" t="s">
        <v>422</v>
      </c>
      <c r="F38" s="69" t="s">
        <v>460</v>
      </c>
      <c r="G38" s="70">
        <v>33510</v>
      </c>
      <c r="H38" s="71">
        <v>8750</v>
      </c>
    </row>
    <row r="39" spans="1:8" x14ac:dyDescent="0.3">
      <c r="A39" s="68">
        <v>38</v>
      </c>
      <c r="B39" s="69" t="s">
        <v>461</v>
      </c>
      <c r="C39" s="69" t="s">
        <v>462</v>
      </c>
      <c r="D39" s="69" t="s">
        <v>371</v>
      </c>
      <c r="E39" s="69" t="s">
        <v>422</v>
      </c>
      <c r="F39" s="69" t="s">
        <v>463</v>
      </c>
      <c r="G39" s="70">
        <v>30225</v>
      </c>
      <c r="H39" s="71">
        <v>24500</v>
      </c>
    </row>
    <row r="40" spans="1:8" x14ac:dyDescent="0.3">
      <c r="A40" s="68">
        <v>39</v>
      </c>
      <c r="B40" s="69" t="s">
        <v>464</v>
      </c>
      <c r="C40" s="69" t="s">
        <v>465</v>
      </c>
      <c r="D40" s="69" t="s">
        <v>371</v>
      </c>
      <c r="E40" s="69" t="s">
        <v>422</v>
      </c>
      <c r="F40" s="69" t="s">
        <v>385</v>
      </c>
      <c r="G40" s="70">
        <v>30225</v>
      </c>
      <c r="H40" s="71">
        <v>24500</v>
      </c>
    </row>
    <row r="41" spans="1:8" x14ac:dyDescent="0.3">
      <c r="A41" s="68">
        <v>45</v>
      </c>
      <c r="B41" s="69" t="s">
        <v>467</v>
      </c>
      <c r="C41" s="69" t="s">
        <v>468</v>
      </c>
      <c r="D41" s="69" t="s">
        <v>391</v>
      </c>
      <c r="E41" s="69" t="s">
        <v>422</v>
      </c>
      <c r="F41" s="69" t="s">
        <v>423</v>
      </c>
      <c r="G41" s="70">
        <v>35618</v>
      </c>
      <c r="H41" s="71">
        <v>11375</v>
      </c>
    </row>
    <row r="42" spans="1:8" x14ac:dyDescent="0.3">
      <c r="A42" s="68">
        <v>46</v>
      </c>
      <c r="B42" s="69" t="s">
        <v>469</v>
      </c>
      <c r="C42" s="69" t="s">
        <v>470</v>
      </c>
      <c r="D42" s="69" t="s">
        <v>363</v>
      </c>
      <c r="E42" s="69" t="s">
        <v>422</v>
      </c>
      <c r="F42" s="69" t="s">
        <v>460</v>
      </c>
      <c r="G42" s="70">
        <v>33510</v>
      </c>
      <c r="H42" s="71">
        <v>15750</v>
      </c>
    </row>
    <row r="43" spans="1:8" x14ac:dyDescent="0.3">
      <c r="A43" s="68">
        <v>47</v>
      </c>
      <c r="B43" s="69" t="s">
        <v>471</v>
      </c>
      <c r="C43" s="69" t="s">
        <v>472</v>
      </c>
      <c r="D43" s="69" t="s">
        <v>375</v>
      </c>
      <c r="E43" s="69" t="s">
        <v>422</v>
      </c>
      <c r="F43" s="69" t="s">
        <v>429</v>
      </c>
      <c r="G43" s="70">
        <v>32180</v>
      </c>
      <c r="H43" s="71">
        <v>15750</v>
      </c>
    </row>
    <row r="44" spans="1:8" x14ac:dyDescent="0.3">
      <c r="A44" s="68">
        <v>51</v>
      </c>
      <c r="B44" s="69" t="s">
        <v>473</v>
      </c>
      <c r="C44" s="69" t="s">
        <v>474</v>
      </c>
      <c r="D44" s="69" t="s">
        <v>363</v>
      </c>
      <c r="E44" s="69" t="s">
        <v>422</v>
      </c>
      <c r="F44" s="69" t="s">
        <v>442</v>
      </c>
      <c r="G44" s="70">
        <v>32436</v>
      </c>
      <c r="H44" s="71">
        <v>15750</v>
      </c>
    </row>
    <row r="45" spans="1:8" x14ac:dyDescent="0.3">
      <c r="A45" s="68">
        <v>52</v>
      </c>
      <c r="B45" s="69" t="s">
        <v>475</v>
      </c>
      <c r="C45" s="69" t="s">
        <v>476</v>
      </c>
      <c r="D45" s="69" t="s">
        <v>397</v>
      </c>
      <c r="E45" s="69" t="s">
        <v>422</v>
      </c>
      <c r="F45" s="69" t="s">
        <v>460</v>
      </c>
      <c r="G45" s="70">
        <v>32437</v>
      </c>
      <c r="H45" s="71">
        <v>19250</v>
      </c>
    </row>
    <row r="46" spans="1:8" x14ac:dyDescent="0.3">
      <c r="A46" s="68">
        <v>58</v>
      </c>
      <c r="B46" s="69" t="s">
        <v>477</v>
      </c>
      <c r="C46" s="69" t="s">
        <v>478</v>
      </c>
      <c r="D46" s="69" t="s">
        <v>367</v>
      </c>
      <c r="E46" s="69" t="s">
        <v>422</v>
      </c>
      <c r="F46" s="69" t="s">
        <v>436</v>
      </c>
      <c r="G46" s="70">
        <v>33182</v>
      </c>
      <c r="H46" s="71">
        <v>17500</v>
      </c>
    </row>
    <row r="47" spans="1:8" x14ac:dyDescent="0.3">
      <c r="A47" s="68">
        <v>61</v>
      </c>
      <c r="B47" s="69" t="s">
        <v>479</v>
      </c>
      <c r="C47" s="69" t="s">
        <v>480</v>
      </c>
      <c r="D47" s="69" t="s">
        <v>375</v>
      </c>
      <c r="E47" s="69" t="s">
        <v>422</v>
      </c>
      <c r="F47" s="69" t="s">
        <v>436</v>
      </c>
      <c r="G47" s="70">
        <v>32106</v>
      </c>
      <c r="H47" s="71">
        <v>19250</v>
      </c>
    </row>
    <row r="48" spans="1:8" x14ac:dyDescent="0.3">
      <c r="A48" s="68">
        <v>62</v>
      </c>
      <c r="B48" s="69" t="s">
        <v>481</v>
      </c>
      <c r="C48" s="69" t="s">
        <v>374</v>
      </c>
      <c r="D48" s="69" t="s">
        <v>363</v>
      </c>
      <c r="E48" s="69" t="s">
        <v>422</v>
      </c>
      <c r="F48" s="69" t="s">
        <v>429</v>
      </c>
      <c r="G48" s="70">
        <v>32107</v>
      </c>
      <c r="H48" s="71">
        <v>19251</v>
      </c>
    </row>
    <row r="49" spans="1:8" x14ac:dyDescent="0.3">
      <c r="A49" s="68">
        <v>63</v>
      </c>
      <c r="B49" s="69" t="s">
        <v>482</v>
      </c>
      <c r="C49" s="69" t="s">
        <v>483</v>
      </c>
      <c r="D49" s="69" t="s">
        <v>391</v>
      </c>
      <c r="E49" s="69" t="s">
        <v>422</v>
      </c>
      <c r="F49" s="69" t="s">
        <v>442</v>
      </c>
      <c r="G49" s="70">
        <v>32440</v>
      </c>
      <c r="H49" s="71">
        <v>17500</v>
      </c>
    </row>
    <row r="50" spans="1:8" x14ac:dyDescent="0.3">
      <c r="A50" s="68">
        <v>66</v>
      </c>
      <c r="B50" s="69" t="s">
        <v>484</v>
      </c>
      <c r="C50" s="69" t="s">
        <v>485</v>
      </c>
      <c r="D50" s="69" t="s">
        <v>384</v>
      </c>
      <c r="E50" s="69" t="s">
        <v>422</v>
      </c>
      <c r="F50" s="69" t="s">
        <v>436</v>
      </c>
      <c r="G50" s="70">
        <v>32443</v>
      </c>
      <c r="H50" s="71">
        <v>17500</v>
      </c>
    </row>
    <row r="51" spans="1:8" x14ac:dyDescent="0.3">
      <c r="A51" s="68">
        <v>67</v>
      </c>
      <c r="B51" s="69" t="s">
        <v>486</v>
      </c>
      <c r="C51" s="69" t="s">
        <v>405</v>
      </c>
      <c r="D51" s="69" t="s">
        <v>384</v>
      </c>
      <c r="E51" s="69" t="s">
        <v>422</v>
      </c>
      <c r="F51" s="69" t="s">
        <v>460</v>
      </c>
      <c r="G51" s="70">
        <v>32444</v>
      </c>
      <c r="H51" s="71">
        <v>20125</v>
      </c>
    </row>
    <row r="52" spans="1:8" x14ac:dyDescent="0.3">
      <c r="A52" s="68">
        <v>68</v>
      </c>
      <c r="B52" s="69" t="s">
        <v>487</v>
      </c>
      <c r="C52" s="69" t="s">
        <v>403</v>
      </c>
      <c r="D52" s="69" t="s">
        <v>363</v>
      </c>
      <c r="E52" s="69" t="s">
        <v>422</v>
      </c>
      <c r="F52" s="69" t="s">
        <v>385</v>
      </c>
      <c r="G52" s="70">
        <v>35034</v>
      </c>
      <c r="H52" s="71">
        <v>14000</v>
      </c>
    </row>
    <row r="53" spans="1:8" x14ac:dyDescent="0.3">
      <c r="A53" s="68">
        <v>69</v>
      </c>
      <c r="B53" s="69" t="s">
        <v>488</v>
      </c>
      <c r="C53" s="69" t="s">
        <v>472</v>
      </c>
      <c r="D53" s="69" t="s">
        <v>384</v>
      </c>
      <c r="E53" s="69" t="s">
        <v>422</v>
      </c>
      <c r="F53" s="69" t="s">
        <v>385</v>
      </c>
      <c r="G53" s="70">
        <v>34761</v>
      </c>
      <c r="H53" s="71">
        <v>14000</v>
      </c>
    </row>
    <row r="54" spans="1:8" x14ac:dyDescent="0.3">
      <c r="A54" s="68">
        <v>73</v>
      </c>
      <c r="B54" s="69" t="s">
        <v>489</v>
      </c>
      <c r="C54" s="69" t="s">
        <v>490</v>
      </c>
      <c r="D54" s="69" t="s">
        <v>397</v>
      </c>
      <c r="E54" s="69" t="s">
        <v>422</v>
      </c>
      <c r="F54" s="69" t="s">
        <v>447</v>
      </c>
      <c r="G54" s="70">
        <v>32439</v>
      </c>
      <c r="H54" s="71">
        <v>17500</v>
      </c>
    </row>
    <row r="55" spans="1:8" x14ac:dyDescent="0.3">
      <c r="A55" s="68">
        <v>77</v>
      </c>
      <c r="B55" s="69" t="s">
        <v>491</v>
      </c>
      <c r="C55" s="69" t="s">
        <v>485</v>
      </c>
      <c r="D55" s="69" t="s">
        <v>391</v>
      </c>
      <c r="E55" s="69" t="s">
        <v>422</v>
      </c>
      <c r="F55" s="69" t="s">
        <v>385</v>
      </c>
      <c r="G55" s="70">
        <v>32443</v>
      </c>
      <c r="H55" s="71">
        <v>17500</v>
      </c>
    </row>
    <row r="56" spans="1:8" x14ac:dyDescent="0.3">
      <c r="A56" s="68">
        <v>79</v>
      </c>
      <c r="B56" s="69" t="s">
        <v>492</v>
      </c>
      <c r="C56" s="69" t="s">
        <v>493</v>
      </c>
      <c r="D56" s="69" t="s">
        <v>367</v>
      </c>
      <c r="E56" s="69" t="s">
        <v>422</v>
      </c>
      <c r="F56" s="69" t="s">
        <v>385</v>
      </c>
      <c r="G56" s="70">
        <v>32445</v>
      </c>
      <c r="H56" s="71">
        <v>17500</v>
      </c>
    </row>
    <row r="57" spans="1:8" x14ac:dyDescent="0.3">
      <c r="A57" s="68">
        <v>80</v>
      </c>
      <c r="B57" s="69" t="s">
        <v>494</v>
      </c>
      <c r="C57" s="69" t="s">
        <v>495</v>
      </c>
      <c r="D57" s="69" t="s">
        <v>367</v>
      </c>
      <c r="E57" s="69" t="s">
        <v>422</v>
      </c>
      <c r="F57" s="69" t="s">
        <v>423</v>
      </c>
      <c r="G57" s="70">
        <v>32446</v>
      </c>
      <c r="H57" s="71">
        <v>17500</v>
      </c>
    </row>
    <row r="58" spans="1:8" x14ac:dyDescent="0.3">
      <c r="A58" s="68">
        <v>83</v>
      </c>
      <c r="B58" s="69" t="s">
        <v>496</v>
      </c>
      <c r="C58" s="69" t="s">
        <v>485</v>
      </c>
      <c r="D58" s="69" t="s">
        <v>397</v>
      </c>
      <c r="E58" s="69" t="s">
        <v>422</v>
      </c>
      <c r="F58" s="69" t="s">
        <v>463</v>
      </c>
      <c r="G58" s="70">
        <v>36221</v>
      </c>
      <c r="H58" s="71">
        <v>7000</v>
      </c>
    </row>
    <row r="59" spans="1:8" x14ac:dyDescent="0.3">
      <c r="A59" s="68">
        <v>85</v>
      </c>
      <c r="B59" s="69" t="s">
        <v>497</v>
      </c>
      <c r="C59" s="69" t="s">
        <v>498</v>
      </c>
      <c r="D59" s="69" t="s">
        <v>391</v>
      </c>
      <c r="E59" s="69" t="s">
        <v>422</v>
      </c>
      <c r="F59" s="69" t="s">
        <v>436</v>
      </c>
      <c r="G59" s="70">
        <v>35809</v>
      </c>
      <c r="H59" s="71">
        <v>7000</v>
      </c>
    </row>
    <row r="60" spans="1:8" x14ac:dyDescent="0.3">
      <c r="A60" s="68">
        <v>86</v>
      </c>
      <c r="B60" s="69" t="s">
        <v>499</v>
      </c>
      <c r="C60" s="69" t="s">
        <v>377</v>
      </c>
      <c r="D60" s="69" t="s">
        <v>397</v>
      </c>
      <c r="E60" s="69" t="s">
        <v>422</v>
      </c>
      <c r="F60" s="69" t="s">
        <v>442</v>
      </c>
      <c r="G60" s="70">
        <v>35810</v>
      </c>
      <c r="H60" s="71">
        <v>17500</v>
      </c>
    </row>
    <row r="61" spans="1:8" x14ac:dyDescent="0.3">
      <c r="A61" s="68">
        <v>89</v>
      </c>
      <c r="B61" s="69" t="s">
        <v>500</v>
      </c>
      <c r="C61" s="69" t="s">
        <v>501</v>
      </c>
      <c r="D61" s="69" t="s">
        <v>363</v>
      </c>
      <c r="E61" s="69" t="s">
        <v>422</v>
      </c>
      <c r="F61" s="69" t="s">
        <v>463</v>
      </c>
      <c r="G61" s="70">
        <v>28907</v>
      </c>
      <c r="H61" s="71">
        <v>22750</v>
      </c>
    </row>
    <row r="62" spans="1:8" x14ac:dyDescent="0.3">
      <c r="A62" s="68">
        <v>90</v>
      </c>
      <c r="B62" s="69" t="s">
        <v>502</v>
      </c>
      <c r="C62" s="69" t="s">
        <v>468</v>
      </c>
      <c r="D62" s="69" t="s">
        <v>391</v>
      </c>
      <c r="E62" s="69" t="s">
        <v>422</v>
      </c>
      <c r="F62" s="69" t="s">
        <v>447</v>
      </c>
      <c r="G62" s="70">
        <v>29226</v>
      </c>
      <c r="H62" s="71">
        <v>22750</v>
      </c>
    </row>
    <row r="63" spans="1:8" x14ac:dyDescent="0.3">
      <c r="A63" s="68">
        <v>98</v>
      </c>
      <c r="B63" s="69" t="s">
        <v>503</v>
      </c>
      <c r="C63" s="69" t="s">
        <v>504</v>
      </c>
      <c r="D63" s="69" t="s">
        <v>397</v>
      </c>
      <c r="E63" s="69" t="s">
        <v>422</v>
      </c>
      <c r="F63" s="69" t="s">
        <v>385</v>
      </c>
      <c r="G63" s="70">
        <v>32609</v>
      </c>
      <c r="H63" s="71">
        <v>17325</v>
      </c>
    </row>
    <row r="64" spans="1:8" x14ac:dyDescent="0.3">
      <c r="A64" s="68">
        <v>3</v>
      </c>
      <c r="B64" s="69" t="s">
        <v>505</v>
      </c>
      <c r="C64" s="69" t="s">
        <v>325</v>
      </c>
      <c r="D64" s="69" t="s">
        <v>375</v>
      </c>
      <c r="E64" s="69" t="s">
        <v>506</v>
      </c>
      <c r="F64" s="69" t="s">
        <v>507</v>
      </c>
      <c r="G64" s="70">
        <v>36220</v>
      </c>
      <c r="H64" s="71">
        <v>7000</v>
      </c>
    </row>
    <row r="65" spans="1:8" x14ac:dyDescent="0.3">
      <c r="A65" s="68">
        <v>14</v>
      </c>
      <c r="B65" s="69" t="s">
        <v>464</v>
      </c>
      <c r="C65" s="69" t="s">
        <v>403</v>
      </c>
      <c r="D65" s="69" t="s">
        <v>508</v>
      </c>
      <c r="E65" s="69" t="s">
        <v>506</v>
      </c>
      <c r="F65" s="69" t="s">
        <v>509</v>
      </c>
      <c r="G65" s="70">
        <v>31028</v>
      </c>
      <c r="H65" s="71">
        <v>49000</v>
      </c>
    </row>
    <row r="66" spans="1:8" x14ac:dyDescent="0.3">
      <c r="A66" s="68">
        <v>25</v>
      </c>
      <c r="B66" s="69" t="s">
        <v>510</v>
      </c>
      <c r="C66" s="69" t="s">
        <v>511</v>
      </c>
      <c r="D66" s="69" t="s">
        <v>391</v>
      </c>
      <c r="E66" s="69" t="s">
        <v>506</v>
      </c>
      <c r="F66" s="69" t="s">
        <v>512</v>
      </c>
      <c r="G66" s="70">
        <v>36274</v>
      </c>
      <c r="H66" s="71">
        <v>7875</v>
      </c>
    </row>
    <row r="67" spans="1:8" x14ac:dyDescent="0.3">
      <c r="A67" s="68">
        <v>27</v>
      </c>
      <c r="B67" s="69" t="s">
        <v>513</v>
      </c>
      <c r="C67" s="69" t="s">
        <v>514</v>
      </c>
      <c r="D67" s="69" t="s">
        <v>363</v>
      </c>
      <c r="E67" s="69" t="s">
        <v>506</v>
      </c>
      <c r="F67" s="69" t="s">
        <v>515</v>
      </c>
      <c r="G67" s="70">
        <v>33787</v>
      </c>
      <c r="H67" s="71">
        <v>13125</v>
      </c>
    </row>
    <row r="68" spans="1:8" x14ac:dyDescent="0.3">
      <c r="A68" s="68">
        <v>32</v>
      </c>
      <c r="B68" s="69" t="s">
        <v>516</v>
      </c>
      <c r="C68" s="69" t="s">
        <v>472</v>
      </c>
      <c r="D68" s="69" t="s">
        <v>397</v>
      </c>
      <c r="E68" s="69" t="s">
        <v>506</v>
      </c>
      <c r="F68" s="69" t="s">
        <v>512</v>
      </c>
      <c r="G68" s="70">
        <v>30225</v>
      </c>
      <c r="H68" s="71">
        <v>15750</v>
      </c>
    </row>
    <row r="69" spans="1:8" x14ac:dyDescent="0.3">
      <c r="A69" s="68">
        <v>35</v>
      </c>
      <c r="B69" s="69" t="s">
        <v>517</v>
      </c>
      <c r="C69" s="69" t="s">
        <v>472</v>
      </c>
      <c r="D69" s="69" t="s">
        <v>367</v>
      </c>
      <c r="E69" s="69" t="s">
        <v>506</v>
      </c>
      <c r="F69" s="69" t="s">
        <v>512</v>
      </c>
      <c r="G69" s="70">
        <v>33729</v>
      </c>
      <c r="H69" s="71">
        <v>9275</v>
      </c>
    </row>
    <row r="70" spans="1:8" x14ac:dyDescent="0.3">
      <c r="A70" s="68">
        <v>37</v>
      </c>
      <c r="B70" s="69" t="s">
        <v>440</v>
      </c>
      <c r="C70" s="69" t="s">
        <v>518</v>
      </c>
      <c r="D70" s="69" t="s">
        <v>371</v>
      </c>
      <c r="E70" s="69" t="s">
        <v>506</v>
      </c>
      <c r="F70" s="69" t="s">
        <v>519</v>
      </c>
      <c r="G70" s="70">
        <v>30225</v>
      </c>
      <c r="H70" s="71">
        <v>24500</v>
      </c>
    </row>
    <row r="71" spans="1:8" x14ac:dyDescent="0.3">
      <c r="A71" s="68">
        <v>40</v>
      </c>
      <c r="B71" s="69" t="s">
        <v>520</v>
      </c>
      <c r="C71" s="69" t="s">
        <v>521</v>
      </c>
      <c r="D71" s="69" t="s">
        <v>363</v>
      </c>
      <c r="E71" s="69" t="s">
        <v>506</v>
      </c>
      <c r="F71" s="69" t="s">
        <v>512</v>
      </c>
      <c r="G71" s="70">
        <v>33510</v>
      </c>
      <c r="H71" s="71">
        <v>10500</v>
      </c>
    </row>
    <row r="72" spans="1:8" x14ac:dyDescent="0.3">
      <c r="A72" s="68">
        <v>49</v>
      </c>
      <c r="B72" s="69" t="s">
        <v>522</v>
      </c>
      <c r="C72" s="69" t="s">
        <v>523</v>
      </c>
      <c r="D72" s="69" t="s">
        <v>397</v>
      </c>
      <c r="E72" s="69" t="s">
        <v>506</v>
      </c>
      <c r="F72" s="69" t="s">
        <v>509</v>
      </c>
      <c r="G72" s="70">
        <v>32435</v>
      </c>
      <c r="H72" s="71">
        <v>15750</v>
      </c>
    </row>
    <row r="73" spans="1:8" x14ac:dyDescent="0.3">
      <c r="A73" s="68">
        <v>57</v>
      </c>
      <c r="B73" s="69" t="s">
        <v>524</v>
      </c>
      <c r="C73" s="69" t="s">
        <v>525</v>
      </c>
      <c r="D73" s="69" t="s">
        <v>363</v>
      </c>
      <c r="E73" s="69" t="s">
        <v>506</v>
      </c>
      <c r="F73" s="69" t="s">
        <v>526</v>
      </c>
      <c r="G73" s="70">
        <v>34098</v>
      </c>
      <c r="H73" s="71">
        <v>14875</v>
      </c>
    </row>
    <row r="74" spans="1:8" x14ac:dyDescent="0.3">
      <c r="A74" s="68">
        <v>59</v>
      </c>
      <c r="B74" s="69" t="s">
        <v>527</v>
      </c>
      <c r="C74" s="69" t="s">
        <v>528</v>
      </c>
      <c r="D74" s="69" t="s">
        <v>375</v>
      </c>
      <c r="E74" s="69" t="s">
        <v>506</v>
      </c>
      <c r="F74" s="69" t="s">
        <v>515</v>
      </c>
      <c r="G74" s="70">
        <v>31791</v>
      </c>
      <c r="H74" s="71">
        <v>19250</v>
      </c>
    </row>
    <row r="75" spans="1:8" x14ac:dyDescent="0.3">
      <c r="A75" s="68">
        <v>60</v>
      </c>
      <c r="B75" s="69" t="s">
        <v>529</v>
      </c>
      <c r="C75" s="69" t="s">
        <v>530</v>
      </c>
      <c r="D75" s="69" t="s">
        <v>367</v>
      </c>
      <c r="E75" s="69" t="s">
        <v>506</v>
      </c>
      <c r="F75" s="69" t="s">
        <v>531</v>
      </c>
      <c r="G75" s="70">
        <v>32105</v>
      </c>
      <c r="H75" s="71">
        <v>19250</v>
      </c>
    </row>
    <row r="76" spans="1:8" x14ac:dyDescent="0.3">
      <c r="A76" s="68">
        <v>64</v>
      </c>
      <c r="B76" s="69" t="s">
        <v>532</v>
      </c>
      <c r="C76" s="69" t="s">
        <v>533</v>
      </c>
      <c r="D76" s="69" t="s">
        <v>384</v>
      </c>
      <c r="E76" s="69" t="s">
        <v>506</v>
      </c>
      <c r="F76" s="69" t="s">
        <v>507</v>
      </c>
      <c r="G76" s="70">
        <v>32441</v>
      </c>
      <c r="H76" s="71">
        <v>17500</v>
      </c>
    </row>
    <row r="77" spans="1:8" x14ac:dyDescent="0.3">
      <c r="A77" s="68">
        <v>72</v>
      </c>
      <c r="B77" s="69" t="s">
        <v>534</v>
      </c>
      <c r="C77" s="69" t="s">
        <v>455</v>
      </c>
      <c r="D77" s="69" t="s">
        <v>391</v>
      </c>
      <c r="E77" s="69" t="s">
        <v>506</v>
      </c>
      <c r="F77" s="69" t="s">
        <v>519</v>
      </c>
      <c r="G77" s="70">
        <v>32438</v>
      </c>
      <c r="H77" s="71">
        <v>17500</v>
      </c>
    </row>
    <row r="78" spans="1:8" x14ac:dyDescent="0.3">
      <c r="A78" s="68">
        <v>81</v>
      </c>
      <c r="B78" s="69" t="s">
        <v>535</v>
      </c>
      <c r="C78" s="69" t="s">
        <v>536</v>
      </c>
      <c r="D78" s="69" t="s">
        <v>397</v>
      </c>
      <c r="E78" s="69" t="s">
        <v>506</v>
      </c>
      <c r="F78" s="69" t="s">
        <v>526</v>
      </c>
      <c r="G78" s="70">
        <v>32447</v>
      </c>
      <c r="H78" s="71">
        <v>17500</v>
      </c>
    </row>
    <row r="79" spans="1:8" x14ac:dyDescent="0.3">
      <c r="A79" s="68">
        <v>87</v>
      </c>
      <c r="B79" s="69" t="s">
        <v>537</v>
      </c>
      <c r="C79" s="69" t="s">
        <v>538</v>
      </c>
      <c r="D79" s="69" t="s">
        <v>367</v>
      </c>
      <c r="E79" s="69" t="s">
        <v>506</v>
      </c>
      <c r="F79" s="69" t="s">
        <v>507</v>
      </c>
      <c r="G79" s="70">
        <v>35811</v>
      </c>
      <c r="H79" s="71">
        <v>17500</v>
      </c>
    </row>
    <row r="80" spans="1:8" x14ac:dyDescent="0.3">
      <c r="A80" s="68">
        <v>93</v>
      </c>
      <c r="B80" s="69" t="s">
        <v>539</v>
      </c>
      <c r="C80" s="69" t="s">
        <v>374</v>
      </c>
      <c r="D80" s="69" t="s">
        <v>363</v>
      </c>
      <c r="E80" s="69" t="s">
        <v>506</v>
      </c>
      <c r="F80" s="69" t="s">
        <v>515</v>
      </c>
      <c r="G80" s="70">
        <v>32604</v>
      </c>
      <c r="H80" s="71">
        <v>17325</v>
      </c>
    </row>
    <row r="81" spans="1:8" x14ac:dyDescent="0.3">
      <c r="A81" s="68">
        <v>95</v>
      </c>
      <c r="B81" s="69" t="s">
        <v>540</v>
      </c>
      <c r="C81" s="69" t="s">
        <v>459</v>
      </c>
      <c r="D81" s="69" t="s">
        <v>367</v>
      </c>
      <c r="E81" s="69" t="s">
        <v>506</v>
      </c>
      <c r="F81" s="69" t="s">
        <v>515</v>
      </c>
      <c r="G81" s="70">
        <v>32606</v>
      </c>
      <c r="H81" s="71">
        <v>17325</v>
      </c>
    </row>
    <row r="82" spans="1:8" x14ac:dyDescent="0.3">
      <c r="A82" s="68">
        <v>97</v>
      </c>
      <c r="B82" s="69" t="s">
        <v>541</v>
      </c>
      <c r="C82" s="69" t="s">
        <v>542</v>
      </c>
      <c r="D82" s="69" t="s">
        <v>391</v>
      </c>
      <c r="E82" s="69" t="s">
        <v>506</v>
      </c>
      <c r="F82" s="69" t="s">
        <v>531</v>
      </c>
      <c r="G82" s="70">
        <v>32608</v>
      </c>
      <c r="H82" s="71">
        <v>17325</v>
      </c>
    </row>
    <row r="83" spans="1:8" x14ac:dyDescent="0.3">
      <c r="A83" s="68">
        <v>100</v>
      </c>
      <c r="B83" s="69" t="s">
        <v>543</v>
      </c>
      <c r="C83" s="69" t="s">
        <v>544</v>
      </c>
      <c r="D83" s="69" t="s">
        <v>371</v>
      </c>
      <c r="E83" s="69" t="s">
        <v>506</v>
      </c>
      <c r="F83" s="69" t="s">
        <v>507</v>
      </c>
      <c r="G83" s="70">
        <v>36193</v>
      </c>
      <c r="H83" s="71">
        <v>7875</v>
      </c>
    </row>
    <row r="84" spans="1:8" x14ac:dyDescent="0.3">
      <c r="A84" s="68">
        <v>7</v>
      </c>
      <c r="B84" s="69" t="s">
        <v>545</v>
      </c>
      <c r="C84" s="69" t="s">
        <v>546</v>
      </c>
      <c r="D84" s="69" t="s">
        <v>384</v>
      </c>
      <c r="E84" s="69" t="s">
        <v>547</v>
      </c>
      <c r="F84" s="69" t="s">
        <v>548</v>
      </c>
      <c r="G84" s="70">
        <v>33102</v>
      </c>
      <c r="H84" s="71">
        <v>12425</v>
      </c>
    </row>
    <row r="85" spans="1:8" x14ac:dyDescent="0.3">
      <c r="A85" s="68">
        <v>11</v>
      </c>
      <c r="B85" s="69" t="s">
        <v>549</v>
      </c>
      <c r="C85" s="69" t="s">
        <v>550</v>
      </c>
      <c r="D85" s="69" t="s">
        <v>371</v>
      </c>
      <c r="E85" s="69" t="s">
        <v>547</v>
      </c>
      <c r="F85" s="69" t="s">
        <v>548</v>
      </c>
      <c r="G85" s="70">
        <v>31402</v>
      </c>
      <c r="H85" s="71">
        <v>14875</v>
      </c>
    </row>
    <row r="86" spans="1:8" x14ac:dyDescent="0.3">
      <c r="A86" s="68">
        <v>18</v>
      </c>
      <c r="B86" s="69" t="s">
        <v>551</v>
      </c>
      <c r="C86" s="69" t="s">
        <v>552</v>
      </c>
      <c r="D86" s="69" t="s">
        <v>375</v>
      </c>
      <c r="E86" s="69" t="s">
        <v>547</v>
      </c>
      <c r="F86" s="69" t="s">
        <v>553</v>
      </c>
      <c r="G86" s="70">
        <v>30376</v>
      </c>
      <c r="H86" s="71">
        <v>15750</v>
      </c>
    </row>
    <row r="87" spans="1:8" x14ac:dyDescent="0.3">
      <c r="A87" s="68">
        <v>22</v>
      </c>
      <c r="B87" s="69" t="s">
        <v>554</v>
      </c>
      <c r="C87" s="69" t="s">
        <v>478</v>
      </c>
      <c r="D87" s="69" t="s">
        <v>367</v>
      </c>
      <c r="E87" s="69" t="s">
        <v>547</v>
      </c>
      <c r="F87" s="69" t="s">
        <v>553</v>
      </c>
      <c r="G87" s="70">
        <v>36318</v>
      </c>
      <c r="H87" s="71">
        <v>7875</v>
      </c>
    </row>
    <row r="88" spans="1:8" x14ac:dyDescent="0.3">
      <c r="A88" s="68">
        <v>23</v>
      </c>
      <c r="B88" s="69" t="s">
        <v>555</v>
      </c>
      <c r="C88" s="69" t="s">
        <v>483</v>
      </c>
      <c r="D88" s="69" t="s">
        <v>367</v>
      </c>
      <c r="E88" s="69" t="s">
        <v>547</v>
      </c>
      <c r="F88" s="69" t="s">
        <v>548</v>
      </c>
      <c r="G88" s="70">
        <v>36319</v>
      </c>
      <c r="H88" s="71">
        <v>7875</v>
      </c>
    </row>
    <row r="89" spans="1:8" x14ac:dyDescent="0.3">
      <c r="A89" s="68">
        <v>24</v>
      </c>
      <c r="B89" s="69" t="s">
        <v>389</v>
      </c>
      <c r="C89" s="69" t="s">
        <v>556</v>
      </c>
      <c r="D89" s="69" t="s">
        <v>363</v>
      </c>
      <c r="E89" s="69" t="s">
        <v>547</v>
      </c>
      <c r="F89" s="69" t="s">
        <v>553</v>
      </c>
      <c r="G89" s="70">
        <v>29362</v>
      </c>
      <c r="H89" s="71">
        <v>14875</v>
      </c>
    </row>
    <row r="90" spans="1:8" x14ac:dyDescent="0.3">
      <c r="A90" s="68">
        <v>28</v>
      </c>
      <c r="B90" s="69" t="s">
        <v>557</v>
      </c>
      <c r="C90" s="69" t="s">
        <v>558</v>
      </c>
      <c r="D90" s="69" t="s">
        <v>391</v>
      </c>
      <c r="E90" s="69" t="s">
        <v>547</v>
      </c>
      <c r="F90" s="69" t="s">
        <v>559</v>
      </c>
      <c r="G90" s="70">
        <v>34777</v>
      </c>
      <c r="H90" s="71">
        <v>10500</v>
      </c>
    </row>
    <row r="91" spans="1:8" x14ac:dyDescent="0.3">
      <c r="A91" s="68">
        <v>36</v>
      </c>
      <c r="B91" s="69" t="s">
        <v>389</v>
      </c>
      <c r="C91" s="69" t="s">
        <v>560</v>
      </c>
      <c r="D91" s="69" t="s">
        <v>384</v>
      </c>
      <c r="E91" s="69" t="s">
        <v>547</v>
      </c>
      <c r="F91" s="69" t="s">
        <v>561</v>
      </c>
      <c r="G91" s="70">
        <v>34580</v>
      </c>
      <c r="H91" s="71">
        <v>11725</v>
      </c>
    </row>
    <row r="92" spans="1:8" x14ac:dyDescent="0.3">
      <c r="A92" s="68">
        <v>43</v>
      </c>
      <c r="B92" s="69" t="s">
        <v>562</v>
      </c>
      <c r="C92" s="69" t="s">
        <v>525</v>
      </c>
      <c r="D92" s="69" t="s">
        <v>384</v>
      </c>
      <c r="E92" s="69" t="s">
        <v>547</v>
      </c>
      <c r="F92" s="69" t="s">
        <v>559</v>
      </c>
      <c r="G92" s="70">
        <v>32435</v>
      </c>
      <c r="H92" s="71">
        <v>15750</v>
      </c>
    </row>
    <row r="93" spans="1:8" x14ac:dyDescent="0.3">
      <c r="A93" s="68">
        <v>48</v>
      </c>
      <c r="B93" s="69" t="s">
        <v>563</v>
      </c>
      <c r="C93" s="69" t="s">
        <v>472</v>
      </c>
      <c r="D93" s="69" t="s">
        <v>397</v>
      </c>
      <c r="E93" s="69" t="s">
        <v>547</v>
      </c>
      <c r="F93" s="69" t="s">
        <v>564</v>
      </c>
      <c r="G93" s="70">
        <v>32435</v>
      </c>
      <c r="H93" s="71">
        <v>15750</v>
      </c>
    </row>
    <row r="94" spans="1:8" x14ac:dyDescent="0.3">
      <c r="A94" s="68">
        <v>50</v>
      </c>
      <c r="B94" s="69" t="s">
        <v>565</v>
      </c>
      <c r="C94" s="69" t="s">
        <v>470</v>
      </c>
      <c r="D94" s="69" t="s">
        <v>384</v>
      </c>
      <c r="E94" s="69" t="s">
        <v>547</v>
      </c>
      <c r="F94" s="69" t="s">
        <v>564</v>
      </c>
      <c r="G94" s="70">
        <v>32435</v>
      </c>
      <c r="H94" s="71">
        <v>15750</v>
      </c>
    </row>
    <row r="95" spans="1:8" x14ac:dyDescent="0.3">
      <c r="A95" s="68">
        <v>53</v>
      </c>
      <c r="B95" s="69" t="s">
        <v>566</v>
      </c>
      <c r="C95" s="69" t="s">
        <v>567</v>
      </c>
      <c r="D95" s="69" t="s">
        <v>397</v>
      </c>
      <c r="E95" s="69" t="s">
        <v>547</v>
      </c>
      <c r="F95" s="69" t="s">
        <v>568</v>
      </c>
      <c r="G95" s="70">
        <v>35034</v>
      </c>
      <c r="H95" s="71">
        <v>15750</v>
      </c>
    </row>
    <row r="96" spans="1:8" x14ac:dyDescent="0.3">
      <c r="A96" s="68">
        <v>56</v>
      </c>
      <c r="B96" s="69" t="s">
        <v>569</v>
      </c>
      <c r="C96" s="69" t="s">
        <v>570</v>
      </c>
      <c r="D96" s="69" t="s">
        <v>363</v>
      </c>
      <c r="E96" s="69" t="s">
        <v>547</v>
      </c>
      <c r="F96" s="69" t="s">
        <v>568</v>
      </c>
      <c r="G96" s="70">
        <v>33878</v>
      </c>
      <c r="H96" s="71">
        <v>14875</v>
      </c>
    </row>
    <row r="97" spans="1:8" x14ac:dyDescent="0.3">
      <c r="A97" s="68">
        <v>71</v>
      </c>
      <c r="B97" s="69" t="s">
        <v>571</v>
      </c>
      <c r="C97" s="69" t="s">
        <v>572</v>
      </c>
      <c r="D97" s="69" t="s">
        <v>391</v>
      </c>
      <c r="E97" s="69" t="s">
        <v>547</v>
      </c>
      <c r="F97" s="69" t="s">
        <v>573</v>
      </c>
      <c r="G97" s="70">
        <v>34763</v>
      </c>
      <c r="H97" s="71">
        <v>14000</v>
      </c>
    </row>
    <row r="98" spans="1:8" x14ac:dyDescent="0.3">
      <c r="A98" s="68">
        <v>76</v>
      </c>
      <c r="B98" s="69" t="s">
        <v>574</v>
      </c>
      <c r="C98" s="69" t="s">
        <v>394</v>
      </c>
      <c r="D98" s="69" t="s">
        <v>397</v>
      </c>
      <c r="E98" s="69" t="s">
        <v>547</v>
      </c>
      <c r="F98" s="69" t="s">
        <v>573</v>
      </c>
      <c r="G98" s="70">
        <v>32442</v>
      </c>
      <c r="H98" s="71">
        <v>17500</v>
      </c>
    </row>
    <row r="99" spans="1:8" x14ac:dyDescent="0.3">
      <c r="A99" s="68">
        <v>78</v>
      </c>
      <c r="B99" s="69" t="s">
        <v>575</v>
      </c>
      <c r="C99" s="69" t="s">
        <v>576</v>
      </c>
      <c r="D99" s="69" t="s">
        <v>363</v>
      </c>
      <c r="E99" s="69" t="s">
        <v>547</v>
      </c>
      <c r="F99" s="69" t="s">
        <v>559</v>
      </c>
      <c r="G99" s="70">
        <v>32444</v>
      </c>
      <c r="H99" s="71">
        <v>17500</v>
      </c>
    </row>
    <row r="100" spans="1:8" x14ac:dyDescent="0.3">
      <c r="A100" s="68">
        <v>88</v>
      </c>
      <c r="B100" s="69" t="s">
        <v>577</v>
      </c>
      <c r="C100" s="69" t="s">
        <v>578</v>
      </c>
      <c r="D100" s="69" t="s">
        <v>367</v>
      </c>
      <c r="E100" s="69" t="s">
        <v>547</v>
      </c>
      <c r="F100" s="69" t="s">
        <v>548</v>
      </c>
      <c r="G100" s="70">
        <v>35794</v>
      </c>
      <c r="H100" s="71">
        <v>7875</v>
      </c>
    </row>
    <row r="101" spans="1:8" x14ac:dyDescent="0.3">
      <c r="A101" s="68">
        <v>94</v>
      </c>
      <c r="B101" s="69" t="s">
        <v>579</v>
      </c>
      <c r="C101" s="69" t="s">
        <v>580</v>
      </c>
      <c r="D101" s="69" t="s">
        <v>367</v>
      </c>
      <c r="E101" s="69" t="s">
        <v>547</v>
      </c>
      <c r="F101" s="69" t="s">
        <v>561</v>
      </c>
      <c r="G101" s="70">
        <v>32605</v>
      </c>
      <c r="H101" s="71">
        <v>17325</v>
      </c>
    </row>
    <row r="102" spans="1:8" x14ac:dyDescent="0.3">
      <c r="A102" s="68">
        <v>96</v>
      </c>
      <c r="B102" s="69" t="s">
        <v>425</v>
      </c>
      <c r="C102" s="69" t="s">
        <v>325</v>
      </c>
      <c r="D102" s="69" t="s">
        <v>391</v>
      </c>
      <c r="E102" s="69" t="s">
        <v>547</v>
      </c>
      <c r="F102" s="69" t="s">
        <v>568</v>
      </c>
      <c r="G102" s="70">
        <v>32607</v>
      </c>
      <c r="H102" s="71">
        <v>17325</v>
      </c>
    </row>
    <row r="103" spans="1:8" x14ac:dyDescent="0.3">
      <c r="A103" s="68">
        <v>99</v>
      </c>
      <c r="B103" s="69" t="s">
        <v>581</v>
      </c>
      <c r="C103" s="69" t="s">
        <v>485</v>
      </c>
      <c r="D103" s="69" t="s">
        <v>371</v>
      </c>
      <c r="E103" s="69" t="s">
        <v>547</v>
      </c>
      <c r="F103" s="69" t="s">
        <v>559</v>
      </c>
      <c r="G103" s="70">
        <v>35794</v>
      </c>
      <c r="H103" s="71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tabSelected="1" workbookViewId="0">
      <selection activeCell="O5" sqref="O5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955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955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7"/>
      <c r="C1" s="147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7"/>
      <c r="C1" s="147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7"/>
      <c r="C1" s="147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7"/>
      <c r="C1" s="147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.75" x14ac:dyDescent="0.3"/>
  <cols>
    <col min="1" max="1" width="11.59765625" bestFit="1" customWidth="1"/>
    <col min="2" max="2" width="8.69921875" bestFit="1" customWidth="1"/>
    <col min="3" max="3" width="16.796875" bestFit="1" customWidth="1"/>
  </cols>
  <sheetData>
    <row r="2" spans="1:3" x14ac:dyDescent="0.3">
      <c r="A2" s="133" t="s">
        <v>357</v>
      </c>
      <c r="B2" s="133" t="s">
        <v>84</v>
      </c>
      <c r="C2" t="s">
        <v>967</v>
      </c>
    </row>
    <row r="3" spans="1:3" x14ac:dyDescent="0.3">
      <c r="A3" t="s">
        <v>375</v>
      </c>
      <c r="B3" t="s">
        <v>547</v>
      </c>
      <c r="C3">
        <v>15750</v>
      </c>
    </row>
    <row r="4" spans="1:3" x14ac:dyDescent="0.3">
      <c r="B4" t="s">
        <v>422</v>
      </c>
      <c r="C4">
        <v>15610</v>
      </c>
    </row>
    <row r="5" spans="1:3" x14ac:dyDescent="0.3">
      <c r="B5" t="s">
        <v>90</v>
      </c>
      <c r="C5">
        <v>13708.333333333334</v>
      </c>
    </row>
    <row r="6" spans="1:3" x14ac:dyDescent="0.3">
      <c r="B6" t="s">
        <v>506</v>
      </c>
      <c r="C6">
        <v>13125</v>
      </c>
    </row>
    <row r="7" spans="1:3" x14ac:dyDescent="0.3">
      <c r="A7" t="s">
        <v>968</v>
      </c>
      <c r="C7">
        <v>14652.272727272728</v>
      </c>
    </row>
    <row r="8" spans="1:3" x14ac:dyDescent="0.3">
      <c r="A8" t="s">
        <v>397</v>
      </c>
      <c r="B8" t="s">
        <v>547</v>
      </c>
      <c r="C8">
        <v>16333.333333333334</v>
      </c>
    </row>
    <row r="9" spans="1:3" x14ac:dyDescent="0.3">
      <c r="B9" t="s">
        <v>506</v>
      </c>
      <c r="C9">
        <v>16333.333333333334</v>
      </c>
    </row>
    <row r="10" spans="1:3" x14ac:dyDescent="0.3">
      <c r="B10" t="s">
        <v>90</v>
      </c>
      <c r="C10">
        <v>16333.333333333334</v>
      </c>
    </row>
    <row r="11" spans="1:3" x14ac:dyDescent="0.3">
      <c r="B11" t="s">
        <v>422</v>
      </c>
      <c r="C11">
        <v>13475</v>
      </c>
    </row>
    <row r="12" spans="1:3" x14ac:dyDescent="0.3">
      <c r="A12" t="s">
        <v>969</v>
      </c>
      <c r="C12">
        <v>15082.8125</v>
      </c>
    </row>
    <row r="13" spans="1:3" x14ac:dyDescent="0.3">
      <c r="A13" t="s">
        <v>508</v>
      </c>
      <c r="B13" t="s">
        <v>506</v>
      </c>
      <c r="C13">
        <v>49000</v>
      </c>
    </row>
    <row r="14" spans="1:3" x14ac:dyDescent="0.3">
      <c r="A14" t="s">
        <v>970</v>
      </c>
      <c r="C14">
        <v>49000</v>
      </c>
    </row>
    <row r="15" spans="1:3" x14ac:dyDescent="0.3">
      <c r="A15" t="s">
        <v>371</v>
      </c>
      <c r="B15" t="s">
        <v>422</v>
      </c>
      <c r="C15">
        <v>24500</v>
      </c>
    </row>
    <row r="16" spans="1:3" x14ac:dyDescent="0.3">
      <c r="B16" t="s">
        <v>90</v>
      </c>
      <c r="C16">
        <v>19250</v>
      </c>
    </row>
    <row r="17" spans="1:3" x14ac:dyDescent="0.3">
      <c r="B17" t="s">
        <v>506</v>
      </c>
      <c r="C17">
        <v>16187.5</v>
      </c>
    </row>
    <row r="18" spans="1:3" x14ac:dyDescent="0.3">
      <c r="B18" t="s">
        <v>547</v>
      </c>
      <c r="C18">
        <v>12687.5</v>
      </c>
    </row>
    <row r="19" spans="1:3" x14ac:dyDescent="0.3">
      <c r="A19" t="s">
        <v>971</v>
      </c>
      <c r="C19">
        <v>18000</v>
      </c>
    </row>
    <row r="20" spans="1:3" x14ac:dyDescent="0.3">
      <c r="A20" t="s">
        <v>954</v>
      </c>
      <c r="B20" t="s">
        <v>90</v>
      </c>
      <c r="C20">
        <v>17500</v>
      </c>
    </row>
    <row r="21" spans="1:3" x14ac:dyDescent="0.3">
      <c r="A21" t="s">
        <v>972</v>
      </c>
      <c r="C21">
        <v>17500</v>
      </c>
    </row>
    <row r="22" spans="1:3" x14ac:dyDescent="0.3">
      <c r="A22" t="s">
        <v>367</v>
      </c>
      <c r="B22" t="s">
        <v>506</v>
      </c>
      <c r="C22">
        <v>15837.5</v>
      </c>
    </row>
    <row r="23" spans="1:3" x14ac:dyDescent="0.3">
      <c r="B23" t="s">
        <v>90</v>
      </c>
      <c r="C23">
        <v>13737.5</v>
      </c>
    </row>
    <row r="24" spans="1:3" x14ac:dyDescent="0.3">
      <c r="B24" t="s">
        <v>422</v>
      </c>
      <c r="C24">
        <v>13533.333333333334</v>
      </c>
    </row>
    <row r="25" spans="1:3" x14ac:dyDescent="0.3">
      <c r="B25" t="s">
        <v>547</v>
      </c>
      <c r="C25">
        <v>10237.5</v>
      </c>
    </row>
    <row r="26" spans="1:3" x14ac:dyDescent="0.3">
      <c r="A26" t="s">
        <v>973</v>
      </c>
      <c r="C26">
        <v>13358.333333333334</v>
      </c>
    </row>
    <row r="27" spans="1:3" x14ac:dyDescent="0.3">
      <c r="A27" t="s">
        <v>384</v>
      </c>
      <c r="B27" t="s">
        <v>506</v>
      </c>
      <c r="C27">
        <v>17500</v>
      </c>
    </row>
    <row r="28" spans="1:3" x14ac:dyDescent="0.3">
      <c r="B28" t="s">
        <v>422</v>
      </c>
      <c r="C28">
        <v>16275</v>
      </c>
    </row>
    <row r="29" spans="1:3" x14ac:dyDescent="0.3">
      <c r="B29" t="s">
        <v>90</v>
      </c>
      <c r="C29">
        <v>14000</v>
      </c>
    </row>
    <row r="30" spans="1:3" x14ac:dyDescent="0.3">
      <c r="B30" t="s">
        <v>547</v>
      </c>
      <c r="C30">
        <v>13912.5</v>
      </c>
    </row>
    <row r="31" spans="1:3" x14ac:dyDescent="0.3">
      <c r="A31" t="s">
        <v>974</v>
      </c>
      <c r="C31">
        <v>15210.416666666666</v>
      </c>
    </row>
    <row r="32" spans="1:3" x14ac:dyDescent="0.3">
      <c r="A32" t="s">
        <v>391</v>
      </c>
      <c r="B32" t="s">
        <v>422</v>
      </c>
      <c r="C32">
        <v>15662.5</v>
      </c>
    </row>
    <row r="33" spans="1:3" x14ac:dyDescent="0.3">
      <c r="B33" t="s">
        <v>506</v>
      </c>
      <c r="C33">
        <v>14233.333333333334</v>
      </c>
    </row>
    <row r="34" spans="1:3" x14ac:dyDescent="0.3">
      <c r="B34" t="s">
        <v>547</v>
      </c>
      <c r="C34">
        <v>13941.666666666666</v>
      </c>
    </row>
    <row r="35" spans="1:3" x14ac:dyDescent="0.3">
      <c r="B35" t="s">
        <v>90</v>
      </c>
      <c r="C35">
        <v>12600</v>
      </c>
    </row>
    <row r="36" spans="1:3" x14ac:dyDescent="0.3">
      <c r="A36" t="s">
        <v>975</v>
      </c>
      <c r="C36">
        <v>14566.176470588236</v>
      </c>
    </row>
    <row r="37" spans="1:3" x14ac:dyDescent="0.3">
      <c r="A37" t="s">
        <v>363</v>
      </c>
      <c r="B37" t="s">
        <v>90</v>
      </c>
      <c r="C37">
        <v>19833.333333333332</v>
      </c>
    </row>
    <row r="38" spans="1:3" x14ac:dyDescent="0.3">
      <c r="B38" t="s">
        <v>422</v>
      </c>
      <c r="C38">
        <v>17750.142857142859</v>
      </c>
    </row>
    <row r="39" spans="1:3" x14ac:dyDescent="0.3">
      <c r="B39" t="s">
        <v>547</v>
      </c>
      <c r="C39">
        <v>15750</v>
      </c>
    </row>
    <row r="40" spans="1:3" x14ac:dyDescent="0.3">
      <c r="B40" t="s">
        <v>506</v>
      </c>
      <c r="C40">
        <v>13956.25</v>
      </c>
    </row>
    <row r="41" spans="1:3" x14ac:dyDescent="0.3">
      <c r="A41" t="s">
        <v>976</v>
      </c>
      <c r="C41">
        <v>16872.117647058825</v>
      </c>
    </row>
    <row r="42" spans="1:3" x14ac:dyDescent="0.3">
      <c r="A42" t="s">
        <v>866</v>
      </c>
      <c r="C42">
        <v>15524.26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359</v>
      </c>
      <c r="B2" t="s">
        <v>967</v>
      </c>
    </row>
    <row r="3" spans="1:2" x14ac:dyDescent="0.3">
      <c r="A3" s="135">
        <v>28126</v>
      </c>
      <c r="B3">
        <v>19687.5</v>
      </c>
    </row>
    <row r="4" spans="1:2" x14ac:dyDescent="0.3">
      <c r="A4" s="135">
        <v>28326</v>
      </c>
      <c r="B4">
        <v>15750</v>
      </c>
    </row>
    <row r="5" spans="1:2" x14ac:dyDescent="0.3">
      <c r="A5" s="135">
        <v>28907</v>
      </c>
      <c r="B5">
        <v>22750</v>
      </c>
    </row>
    <row r="6" spans="1:2" x14ac:dyDescent="0.3">
      <c r="A6" s="135">
        <v>29172</v>
      </c>
      <c r="B6">
        <v>22750</v>
      </c>
    </row>
    <row r="7" spans="1:2" x14ac:dyDescent="0.3">
      <c r="A7" s="135">
        <v>29183</v>
      </c>
      <c r="B7">
        <v>12250</v>
      </c>
    </row>
    <row r="8" spans="1:2" x14ac:dyDescent="0.3">
      <c r="A8" s="135">
        <v>29226</v>
      </c>
      <c r="B8">
        <v>22750</v>
      </c>
    </row>
    <row r="9" spans="1:2" x14ac:dyDescent="0.3">
      <c r="A9" s="135">
        <v>29362</v>
      </c>
      <c r="B9">
        <v>14875</v>
      </c>
    </row>
    <row r="10" spans="1:2" x14ac:dyDescent="0.3">
      <c r="A10" s="135">
        <v>30225</v>
      </c>
      <c r="B10">
        <v>20708.333333333332</v>
      </c>
    </row>
    <row r="11" spans="1:2" x14ac:dyDescent="0.3">
      <c r="A11" s="135">
        <v>30376</v>
      </c>
      <c r="B11">
        <v>17500</v>
      </c>
    </row>
    <row r="12" spans="1:2" x14ac:dyDescent="0.3">
      <c r="A12" s="135">
        <v>31027</v>
      </c>
      <c r="B12">
        <v>19250</v>
      </c>
    </row>
    <row r="13" spans="1:2" x14ac:dyDescent="0.3">
      <c r="A13" s="135">
        <v>31028</v>
      </c>
      <c r="B13">
        <v>49000</v>
      </c>
    </row>
    <row r="14" spans="1:2" x14ac:dyDescent="0.3">
      <c r="A14" s="135">
        <v>31029</v>
      </c>
      <c r="B14">
        <v>14875</v>
      </c>
    </row>
    <row r="15" spans="1:2" x14ac:dyDescent="0.3">
      <c r="A15" s="135">
        <v>31030</v>
      </c>
      <c r="B15">
        <v>14875</v>
      </c>
    </row>
    <row r="16" spans="1:2" x14ac:dyDescent="0.3">
      <c r="A16" s="135">
        <v>31402</v>
      </c>
      <c r="B16">
        <v>14875</v>
      </c>
    </row>
    <row r="17" spans="1:2" x14ac:dyDescent="0.3">
      <c r="A17" s="135">
        <v>31637</v>
      </c>
      <c r="B17">
        <v>10500</v>
      </c>
    </row>
    <row r="18" spans="1:2" x14ac:dyDescent="0.3">
      <c r="A18" s="135">
        <v>31717</v>
      </c>
      <c r="B18">
        <v>15750</v>
      </c>
    </row>
    <row r="19" spans="1:2" x14ac:dyDescent="0.3">
      <c r="A19" s="135">
        <v>31791</v>
      </c>
      <c r="B19">
        <v>19250</v>
      </c>
    </row>
    <row r="20" spans="1:2" x14ac:dyDescent="0.3">
      <c r="A20" s="135">
        <v>32105</v>
      </c>
      <c r="B20">
        <v>19250</v>
      </c>
    </row>
    <row r="21" spans="1:2" x14ac:dyDescent="0.3">
      <c r="A21" s="135">
        <v>32106</v>
      </c>
      <c r="B21">
        <v>19250</v>
      </c>
    </row>
    <row r="22" spans="1:2" x14ac:dyDescent="0.3">
      <c r="A22" s="135">
        <v>32107</v>
      </c>
      <c r="B22">
        <v>19251</v>
      </c>
    </row>
    <row r="23" spans="1:2" x14ac:dyDescent="0.3">
      <c r="A23" s="135">
        <v>32180</v>
      </c>
      <c r="B23">
        <v>15750</v>
      </c>
    </row>
    <row r="24" spans="1:2" x14ac:dyDescent="0.3">
      <c r="A24" s="135">
        <v>32390</v>
      </c>
      <c r="B24">
        <v>12425</v>
      </c>
    </row>
    <row r="25" spans="1:2" x14ac:dyDescent="0.3">
      <c r="A25" s="135">
        <v>32435</v>
      </c>
      <c r="B25">
        <v>15435</v>
      </c>
    </row>
    <row r="26" spans="1:2" x14ac:dyDescent="0.3">
      <c r="A26" s="135">
        <v>32436</v>
      </c>
      <c r="B26">
        <v>15750</v>
      </c>
    </row>
    <row r="27" spans="1:2" x14ac:dyDescent="0.3">
      <c r="A27" s="135">
        <v>32437</v>
      </c>
      <c r="B27">
        <v>19250</v>
      </c>
    </row>
    <row r="28" spans="1:2" x14ac:dyDescent="0.3">
      <c r="A28" s="135">
        <v>32438</v>
      </c>
      <c r="B28">
        <v>17500</v>
      </c>
    </row>
    <row r="29" spans="1:2" x14ac:dyDescent="0.3">
      <c r="A29" s="135">
        <v>32439</v>
      </c>
      <c r="B29">
        <v>17500</v>
      </c>
    </row>
    <row r="30" spans="1:2" x14ac:dyDescent="0.3">
      <c r="A30" s="135">
        <v>32440</v>
      </c>
      <c r="B30">
        <v>17500</v>
      </c>
    </row>
    <row r="31" spans="1:2" x14ac:dyDescent="0.3">
      <c r="A31" s="135">
        <v>32441</v>
      </c>
      <c r="B31">
        <v>17500</v>
      </c>
    </row>
    <row r="32" spans="1:2" x14ac:dyDescent="0.3">
      <c r="A32" s="135">
        <v>32442</v>
      </c>
      <c r="B32">
        <v>17500</v>
      </c>
    </row>
    <row r="33" spans="1:2" x14ac:dyDescent="0.3">
      <c r="A33" s="135">
        <v>32443</v>
      </c>
      <c r="B33">
        <v>17500</v>
      </c>
    </row>
    <row r="34" spans="1:2" x14ac:dyDescent="0.3">
      <c r="A34" s="135">
        <v>32444</v>
      </c>
      <c r="B34">
        <v>18812.5</v>
      </c>
    </row>
    <row r="35" spans="1:2" x14ac:dyDescent="0.3">
      <c r="A35" s="135">
        <v>32445</v>
      </c>
      <c r="B35">
        <v>17500</v>
      </c>
    </row>
    <row r="36" spans="1:2" x14ac:dyDescent="0.3">
      <c r="A36" s="135">
        <v>32446</v>
      </c>
      <c r="B36">
        <v>17500</v>
      </c>
    </row>
    <row r="37" spans="1:2" x14ac:dyDescent="0.3">
      <c r="A37" s="135">
        <v>32447</v>
      </c>
      <c r="B37">
        <v>17500</v>
      </c>
    </row>
    <row r="38" spans="1:2" x14ac:dyDescent="0.3">
      <c r="A38" s="135">
        <v>32448</v>
      </c>
      <c r="B38">
        <v>17500</v>
      </c>
    </row>
    <row r="39" spans="1:2" x14ac:dyDescent="0.3">
      <c r="A39" s="135">
        <v>32603</v>
      </c>
      <c r="B39">
        <v>17325</v>
      </c>
    </row>
    <row r="40" spans="1:2" x14ac:dyDescent="0.3">
      <c r="A40" s="135">
        <v>32604</v>
      </c>
      <c r="B40">
        <v>17325</v>
      </c>
    </row>
    <row r="41" spans="1:2" x14ac:dyDescent="0.3">
      <c r="A41" s="135">
        <v>32605</v>
      </c>
      <c r="B41">
        <v>17325</v>
      </c>
    </row>
    <row r="42" spans="1:2" x14ac:dyDescent="0.3">
      <c r="A42" s="135">
        <v>32606</v>
      </c>
      <c r="B42">
        <v>17325</v>
      </c>
    </row>
    <row r="43" spans="1:2" x14ac:dyDescent="0.3">
      <c r="A43" s="135">
        <v>32607</v>
      </c>
      <c r="B43">
        <v>17325</v>
      </c>
    </row>
    <row r="44" spans="1:2" x14ac:dyDescent="0.3">
      <c r="A44" s="135">
        <v>32608</v>
      </c>
      <c r="B44">
        <v>17325</v>
      </c>
    </row>
    <row r="45" spans="1:2" x14ac:dyDescent="0.3">
      <c r="A45" s="135">
        <v>32609</v>
      </c>
      <c r="B45">
        <v>17325</v>
      </c>
    </row>
    <row r="46" spans="1:2" x14ac:dyDescent="0.3">
      <c r="A46" s="135">
        <v>32755</v>
      </c>
      <c r="B46">
        <v>16712.5</v>
      </c>
    </row>
    <row r="47" spans="1:2" x14ac:dyDescent="0.3">
      <c r="A47" s="135">
        <v>33102</v>
      </c>
      <c r="B47">
        <v>12425</v>
      </c>
    </row>
    <row r="48" spans="1:2" x14ac:dyDescent="0.3">
      <c r="A48" s="135">
        <v>33182</v>
      </c>
      <c r="B48">
        <v>17500</v>
      </c>
    </row>
    <row r="49" spans="1:2" x14ac:dyDescent="0.3">
      <c r="A49" s="135">
        <v>33194</v>
      </c>
      <c r="B49">
        <v>13825</v>
      </c>
    </row>
    <row r="50" spans="1:2" x14ac:dyDescent="0.3">
      <c r="A50" s="135">
        <v>33510</v>
      </c>
      <c r="B50">
        <v>12075</v>
      </c>
    </row>
    <row r="51" spans="1:2" x14ac:dyDescent="0.3">
      <c r="A51" s="135">
        <v>33729</v>
      </c>
      <c r="B51">
        <v>9275</v>
      </c>
    </row>
    <row r="52" spans="1:2" x14ac:dyDescent="0.3">
      <c r="A52" s="135">
        <v>33787</v>
      </c>
      <c r="B52">
        <v>13125</v>
      </c>
    </row>
    <row r="53" spans="1:2" x14ac:dyDescent="0.3">
      <c r="A53" s="135">
        <v>33878</v>
      </c>
      <c r="B53">
        <v>14875</v>
      </c>
    </row>
    <row r="54" spans="1:2" x14ac:dyDescent="0.3">
      <c r="A54" s="135">
        <v>34098</v>
      </c>
      <c r="B54">
        <v>14875</v>
      </c>
    </row>
    <row r="55" spans="1:2" x14ac:dyDescent="0.3">
      <c r="A55" s="135">
        <v>34580</v>
      </c>
      <c r="B55">
        <v>11725</v>
      </c>
    </row>
    <row r="56" spans="1:2" x14ac:dyDescent="0.3">
      <c r="A56" s="135">
        <v>34761</v>
      </c>
      <c r="B56">
        <v>14875</v>
      </c>
    </row>
    <row r="57" spans="1:2" x14ac:dyDescent="0.3">
      <c r="A57" s="135">
        <v>34762</v>
      </c>
      <c r="B57">
        <v>14000</v>
      </c>
    </row>
    <row r="58" spans="1:2" x14ac:dyDescent="0.3">
      <c r="A58" s="135">
        <v>34763</v>
      </c>
      <c r="B58">
        <v>14000</v>
      </c>
    </row>
    <row r="59" spans="1:2" x14ac:dyDescent="0.3">
      <c r="A59" s="135">
        <v>34777</v>
      </c>
      <c r="B59">
        <v>10500</v>
      </c>
    </row>
    <row r="60" spans="1:2" x14ac:dyDescent="0.3">
      <c r="A60" s="135">
        <v>35034</v>
      </c>
      <c r="B60">
        <v>14875</v>
      </c>
    </row>
    <row r="61" spans="1:2" x14ac:dyDescent="0.3">
      <c r="A61" s="135">
        <v>35189</v>
      </c>
      <c r="B61">
        <v>9625</v>
      </c>
    </row>
    <row r="62" spans="1:2" x14ac:dyDescent="0.3">
      <c r="A62" s="135">
        <v>35595</v>
      </c>
      <c r="B62">
        <v>7875</v>
      </c>
    </row>
    <row r="63" spans="1:2" x14ac:dyDescent="0.3">
      <c r="A63" s="135">
        <v>35618</v>
      </c>
      <c r="B63">
        <v>9187.5</v>
      </c>
    </row>
    <row r="64" spans="1:2" x14ac:dyDescent="0.3">
      <c r="A64" s="135">
        <v>35794</v>
      </c>
      <c r="B64">
        <v>9187.5</v>
      </c>
    </row>
    <row r="65" spans="1:2" x14ac:dyDescent="0.3">
      <c r="A65" s="135">
        <v>35809</v>
      </c>
      <c r="B65">
        <v>7000</v>
      </c>
    </row>
    <row r="66" spans="1:2" x14ac:dyDescent="0.3">
      <c r="A66" s="135">
        <v>35810</v>
      </c>
      <c r="B66">
        <v>17500</v>
      </c>
    </row>
    <row r="67" spans="1:2" x14ac:dyDescent="0.3">
      <c r="A67" s="135">
        <v>35811</v>
      </c>
      <c r="B67">
        <v>17500</v>
      </c>
    </row>
    <row r="68" spans="1:2" x14ac:dyDescent="0.3">
      <c r="A68" s="135">
        <v>36193</v>
      </c>
      <c r="B68">
        <v>7875</v>
      </c>
    </row>
    <row r="69" spans="1:2" x14ac:dyDescent="0.3">
      <c r="A69" s="135">
        <v>36220</v>
      </c>
      <c r="B69">
        <v>7000</v>
      </c>
    </row>
    <row r="70" spans="1:2" x14ac:dyDescent="0.3">
      <c r="A70" s="135">
        <v>36221</v>
      </c>
      <c r="B70">
        <v>7000</v>
      </c>
    </row>
    <row r="71" spans="1:2" x14ac:dyDescent="0.3">
      <c r="A71" s="135">
        <v>36222</v>
      </c>
      <c r="B71">
        <v>7000</v>
      </c>
    </row>
    <row r="72" spans="1:2" x14ac:dyDescent="0.3">
      <c r="A72" s="135">
        <v>36274</v>
      </c>
      <c r="B72">
        <v>7875</v>
      </c>
    </row>
    <row r="73" spans="1:2" x14ac:dyDescent="0.3">
      <c r="A73" s="135">
        <v>36316</v>
      </c>
      <c r="B73">
        <v>5950</v>
      </c>
    </row>
    <row r="74" spans="1:2" x14ac:dyDescent="0.3">
      <c r="A74" s="135">
        <v>36317</v>
      </c>
      <c r="B74">
        <v>7875</v>
      </c>
    </row>
    <row r="75" spans="1:2" x14ac:dyDescent="0.3">
      <c r="A75" s="135">
        <v>36318</v>
      </c>
      <c r="B75">
        <v>7875</v>
      </c>
    </row>
    <row r="76" spans="1:2" x14ac:dyDescent="0.3">
      <c r="A76" s="135">
        <v>36319</v>
      </c>
      <c r="B76">
        <v>7875</v>
      </c>
    </row>
    <row r="77" spans="1:2" x14ac:dyDescent="0.3">
      <c r="A77" s="135">
        <v>36506</v>
      </c>
      <c r="B77">
        <v>14875</v>
      </c>
    </row>
    <row r="78" spans="1:2" x14ac:dyDescent="0.3">
      <c r="A78" s="135" t="s">
        <v>866</v>
      </c>
      <c r="B78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967</v>
      </c>
    </row>
    <row r="3" spans="1:2" x14ac:dyDescent="0.3">
      <c r="A3" t="s">
        <v>508</v>
      </c>
      <c r="B3">
        <v>49000</v>
      </c>
    </row>
    <row r="4" spans="1:2" x14ac:dyDescent="0.3">
      <c r="A4" t="s">
        <v>371</v>
      </c>
      <c r="B4">
        <v>18000</v>
      </c>
    </row>
    <row r="5" spans="1:2" x14ac:dyDescent="0.3">
      <c r="A5" t="s">
        <v>954</v>
      </c>
      <c r="B5">
        <v>17500</v>
      </c>
    </row>
    <row r="6" spans="1:2" x14ac:dyDescent="0.3">
      <c r="A6" t="s">
        <v>363</v>
      </c>
      <c r="B6">
        <v>16872.117647058825</v>
      </c>
    </row>
    <row r="7" spans="1:2" x14ac:dyDescent="0.3">
      <c r="A7" t="s">
        <v>384</v>
      </c>
      <c r="B7">
        <v>15210.416666666666</v>
      </c>
    </row>
    <row r="8" spans="1:2" x14ac:dyDescent="0.3">
      <c r="A8" t="s">
        <v>397</v>
      </c>
      <c r="B8">
        <v>15082.8125</v>
      </c>
    </row>
    <row r="9" spans="1:2" x14ac:dyDescent="0.3">
      <c r="A9" t="s">
        <v>375</v>
      </c>
      <c r="B9">
        <v>14652.272727272728</v>
      </c>
    </row>
    <row r="10" spans="1:2" x14ac:dyDescent="0.3">
      <c r="A10" t="s">
        <v>391</v>
      </c>
      <c r="B10">
        <v>14566.176470588236</v>
      </c>
    </row>
    <row r="11" spans="1:2" x14ac:dyDescent="0.3">
      <c r="A11" t="s">
        <v>367</v>
      </c>
      <c r="B11">
        <v>13358.333333333334</v>
      </c>
    </row>
    <row r="12" spans="1:2" x14ac:dyDescent="0.3">
      <c r="A12" t="s">
        <v>866</v>
      </c>
      <c r="B12">
        <v>15524.26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391</v>
      </c>
    </row>
    <row r="4" spans="1:2" x14ac:dyDescent="0.3">
      <c r="A4" s="133" t="s">
        <v>359</v>
      </c>
      <c r="B4" t="s">
        <v>967</v>
      </c>
    </row>
    <row r="5" spans="1:2" x14ac:dyDescent="0.3">
      <c r="A5" s="135">
        <v>29226</v>
      </c>
      <c r="B5">
        <v>22750</v>
      </c>
    </row>
    <row r="6" spans="1:2" x14ac:dyDescent="0.3">
      <c r="A6" s="135">
        <v>30225</v>
      </c>
      <c r="B6">
        <v>15750</v>
      </c>
    </row>
    <row r="7" spans="1:2" x14ac:dyDescent="0.3">
      <c r="A7" s="135">
        <v>32438</v>
      </c>
      <c r="B7">
        <v>17500</v>
      </c>
    </row>
    <row r="8" spans="1:2" x14ac:dyDescent="0.3">
      <c r="A8" s="135">
        <v>32440</v>
      </c>
      <c r="B8">
        <v>17500</v>
      </c>
    </row>
    <row r="9" spans="1:2" x14ac:dyDescent="0.3">
      <c r="A9" s="135">
        <v>32443</v>
      </c>
      <c r="B9">
        <v>17500</v>
      </c>
    </row>
    <row r="10" spans="1:2" x14ac:dyDescent="0.3">
      <c r="A10" s="135">
        <v>32448</v>
      </c>
      <c r="B10">
        <v>17500</v>
      </c>
    </row>
    <row r="11" spans="1:2" x14ac:dyDescent="0.3">
      <c r="A11" s="135">
        <v>32607</v>
      </c>
      <c r="B11">
        <v>17325</v>
      </c>
    </row>
    <row r="12" spans="1:2" x14ac:dyDescent="0.3">
      <c r="A12" s="135">
        <v>32608</v>
      </c>
      <c r="B12">
        <v>17325</v>
      </c>
    </row>
    <row r="13" spans="1:2" x14ac:dyDescent="0.3">
      <c r="A13" s="135">
        <v>32755</v>
      </c>
      <c r="B13">
        <v>16712.5</v>
      </c>
    </row>
    <row r="14" spans="1:2" x14ac:dyDescent="0.3">
      <c r="A14" s="135">
        <v>33510</v>
      </c>
      <c r="B14">
        <v>13300</v>
      </c>
    </row>
    <row r="15" spans="1:2" x14ac:dyDescent="0.3">
      <c r="A15" s="135">
        <v>34763</v>
      </c>
      <c r="B15">
        <v>14000</v>
      </c>
    </row>
    <row r="16" spans="1:2" x14ac:dyDescent="0.3">
      <c r="A16" s="135">
        <v>34777</v>
      </c>
      <c r="B16">
        <v>10500</v>
      </c>
    </row>
    <row r="17" spans="1:2" x14ac:dyDescent="0.3">
      <c r="A17" s="135">
        <v>35618</v>
      </c>
      <c r="B17">
        <v>11375</v>
      </c>
    </row>
    <row r="18" spans="1:2" x14ac:dyDescent="0.3">
      <c r="A18" s="135">
        <v>35809</v>
      </c>
      <c r="B18">
        <v>7000</v>
      </c>
    </row>
    <row r="19" spans="1:2" x14ac:dyDescent="0.3">
      <c r="A19" s="135">
        <v>36222</v>
      </c>
      <c r="B19">
        <v>7000</v>
      </c>
    </row>
    <row r="20" spans="1:2" x14ac:dyDescent="0.3">
      <c r="A20" s="135">
        <v>36274</v>
      </c>
      <c r="B20">
        <v>7875</v>
      </c>
    </row>
    <row r="21" spans="1:2" x14ac:dyDescent="0.3">
      <c r="A21" s="135" t="s">
        <v>866</v>
      </c>
      <c r="B21">
        <v>14566.176470588236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84</v>
      </c>
      <c r="B4" t="s">
        <v>967</v>
      </c>
    </row>
    <row r="5" spans="1:2" x14ac:dyDescent="0.3">
      <c r="A5" t="s">
        <v>506</v>
      </c>
      <c r="B5">
        <v>49000</v>
      </c>
    </row>
    <row r="6" spans="1:2" x14ac:dyDescent="0.3">
      <c r="A6" t="s">
        <v>90</v>
      </c>
      <c r="B6">
        <v>17500</v>
      </c>
    </row>
    <row r="7" spans="1:2" x14ac:dyDescent="0.3">
      <c r="A7" t="s">
        <v>422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397</v>
      </c>
    </row>
    <row r="4" spans="1:2" x14ac:dyDescent="0.3">
      <c r="A4" s="133" t="s">
        <v>359</v>
      </c>
      <c r="B4" t="s">
        <v>967</v>
      </c>
    </row>
    <row r="5" spans="1:2" x14ac:dyDescent="0.3">
      <c r="A5" s="135">
        <v>30225</v>
      </c>
      <c r="B5">
        <v>15750</v>
      </c>
    </row>
    <row r="6" spans="1:2" x14ac:dyDescent="0.3">
      <c r="A6" s="135">
        <v>31717</v>
      </c>
      <c r="B6">
        <v>15750</v>
      </c>
    </row>
    <row r="7" spans="1:2" x14ac:dyDescent="0.3">
      <c r="A7" s="135">
        <v>32435</v>
      </c>
      <c r="B7">
        <v>15750</v>
      </c>
    </row>
    <row r="8" spans="1:2" x14ac:dyDescent="0.3">
      <c r="A8" s="135">
        <v>32437</v>
      </c>
      <c r="B8">
        <v>19250</v>
      </c>
    </row>
    <row r="9" spans="1:2" x14ac:dyDescent="0.3">
      <c r="A9" s="135">
        <v>32439</v>
      </c>
      <c r="B9">
        <v>17500</v>
      </c>
    </row>
    <row r="10" spans="1:2" x14ac:dyDescent="0.3">
      <c r="A10" s="135">
        <v>32442</v>
      </c>
      <c r="B10">
        <v>17500</v>
      </c>
    </row>
    <row r="11" spans="1:2" x14ac:dyDescent="0.3">
      <c r="A11" s="135">
        <v>32447</v>
      </c>
      <c r="B11">
        <v>17500</v>
      </c>
    </row>
    <row r="12" spans="1:2" x14ac:dyDescent="0.3">
      <c r="A12" s="135">
        <v>32609</v>
      </c>
      <c r="B12">
        <v>17325</v>
      </c>
    </row>
    <row r="13" spans="1:2" x14ac:dyDescent="0.3">
      <c r="A13" s="135">
        <v>33510</v>
      </c>
      <c r="B13">
        <v>8750</v>
      </c>
    </row>
    <row r="14" spans="1:2" x14ac:dyDescent="0.3">
      <c r="A14" s="135">
        <v>34761</v>
      </c>
      <c r="B14">
        <v>15750</v>
      </c>
    </row>
    <row r="15" spans="1:2" x14ac:dyDescent="0.3">
      <c r="A15" s="135">
        <v>35034</v>
      </c>
      <c r="B15">
        <v>15750</v>
      </c>
    </row>
    <row r="16" spans="1:2" x14ac:dyDescent="0.3">
      <c r="A16" s="135">
        <v>35618</v>
      </c>
      <c r="B16">
        <v>7000</v>
      </c>
    </row>
    <row r="17" spans="1:2" x14ac:dyDescent="0.3">
      <c r="A17" s="135">
        <v>35810</v>
      </c>
      <c r="B17">
        <v>17500</v>
      </c>
    </row>
    <row r="18" spans="1:2" x14ac:dyDescent="0.3">
      <c r="A18" s="135">
        <v>36221</v>
      </c>
      <c r="B18">
        <v>7000</v>
      </c>
    </row>
    <row r="19" spans="1:2" x14ac:dyDescent="0.3">
      <c r="A19" s="135" t="s">
        <v>866</v>
      </c>
      <c r="B19">
        <v>15082.8125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356</v>
      </c>
      <c r="B4" t="s">
        <v>967</v>
      </c>
    </row>
    <row r="5" spans="1:2" x14ac:dyDescent="0.3">
      <c r="A5">
        <v>14</v>
      </c>
      <c r="B5">
        <v>49000</v>
      </c>
    </row>
    <row r="6" spans="1:2" x14ac:dyDescent="0.3">
      <c r="A6">
        <v>65</v>
      </c>
      <c r="B6">
        <v>17500</v>
      </c>
    </row>
    <row r="7" spans="1:2" x14ac:dyDescent="0.3">
      <c r="A7">
        <v>68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485</v>
      </c>
    </row>
    <row r="4" spans="1:2" x14ac:dyDescent="0.3">
      <c r="A4" s="133" t="s">
        <v>356</v>
      </c>
      <c r="B4" t="s">
        <v>967</v>
      </c>
    </row>
    <row r="5" spans="1:2" x14ac:dyDescent="0.3">
      <c r="A5">
        <v>66</v>
      </c>
      <c r="B5">
        <v>17500</v>
      </c>
    </row>
    <row r="6" spans="1:2" x14ac:dyDescent="0.3">
      <c r="A6">
        <v>77</v>
      </c>
      <c r="B6">
        <v>17500</v>
      </c>
    </row>
    <row r="7" spans="1:2" x14ac:dyDescent="0.3">
      <c r="A7">
        <v>99</v>
      </c>
      <c r="B7">
        <v>10500</v>
      </c>
    </row>
    <row r="8" spans="1:2" x14ac:dyDescent="0.3">
      <c r="A8">
        <v>83</v>
      </c>
      <c r="B8">
        <v>7000</v>
      </c>
    </row>
    <row r="9" spans="1:2" x14ac:dyDescent="0.3">
      <c r="A9" t="s">
        <v>866</v>
      </c>
      <c r="B9">
        <v>13125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358</v>
      </c>
      <c r="B4" t="s">
        <v>967</v>
      </c>
    </row>
    <row r="5" spans="1:2" x14ac:dyDescent="0.3">
      <c r="A5" t="s">
        <v>509</v>
      </c>
      <c r="B5">
        <v>49000</v>
      </c>
    </row>
    <row r="6" spans="1:2" x14ac:dyDescent="0.3">
      <c r="A6" t="s">
        <v>372</v>
      </c>
      <c r="B6">
        <v>17500</v>
      </c>
    </row>
    <row r="7" spans="1:2" x14ac:dyDescent="0.3">
      <c r="A7" t="s">
        <v>385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325</v>
      </c>
    </row>
    <row r="4" spans="1:2" x14ac:dyDescent="0.3">
      <c r="A4" s="133" t="s">
        <v>359</v>
      </c>
      <c r="B4" t="s">
        <v>967</v>
      </c>
    </row>
    <row r="5" spans="1:2" x14ac:dyDescent="0.3">
      <c r="A5" s="135">
        <v>28126</v>
      </c>
      <c r="B5">
        <v>17500</v>
      </c>
    </row>
    <row r="6" spans="1:2" x14ac:dyDescent="0.3">
      <c r="A6" s="135">
        <v>32607</v>
      </c>
      <c r="B6">
        <v>17325</v>
      </c>
    </row>
    <row r="7" spans="1:2" x14ac:dyDescent="0.3">
      <c r="A7" s="135">
        <v>36220</v>
      </c>
      <c r="B7">
        <v>7000</v>
      </c>
    </row>
    <row r="8" spans="1:2" x14ac:dyDescent="0.3">
      <c r="A8" s="135" t="s">
        <v>866</v>
      </c>
      <c r="B8">
        <v>13941.666666666666</v>
      </c>
    </row>
  </sheetData>
  <pageMargins left="0.7" right="0.7" top="0.75" bottom="0.75" header="0.3" footer="0.3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.75" x14ac:dyDescent="0.3"/>
  <cols>
    <col min="2" max="2" width="2.796875" customWidth="1"/>
    <col min="3" max="3" width="16.796875" bestFit="1" customWidth="1"/>
  </cols>
  <sheetData>
    <row r="2" spans="2:3" x14ac:dyDescent="0.3">
      <c r="B2" s="136" t="s">
        <v>977</v>
      </c>
    </row>
    <row r="4" spans="2:3" x14ac:dyDescent="0.3">
      <c r="C4" s="133" t="s">
        <v>967</v>
      </c>
    </row>
    <row r="5" spans="2:3" x14ac:dyDescent="0.3">
      <c r="C5">
        <v>15524.26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.75" x14ac:dyDescent="0.3"/>
  <cols>
    <col min="2" max="2" width="2.796875" customWidth="1"/>
    <col min="3" max="3" width="16.796875" bestFit="1" customWidth="1"/>
    <col min="4" max="12" width="13.59765625" bestFit="1" customWidth="1"/>
    <col min="13" max="13" width="11.69921875" bestFit="1" customWidth="1"/>
  </cols>
  <sheetData>
    <row r="2" spans="2:13" x14ac:dyDescent="0.3">
      <c r="B2" s="136" t="s">
        <v>978</v>
      </c>
    </row>
    <row r="4" spans="2:13" x14ac:dyDescent="0.3">
      <c r="C4" s="133" t="s">
        <v>967</v>
      </c>
      <c r="D4" s="133" t="s">
        <v>357</v>
      </c>
    </row>
    <row r="5" spans="2:13" x14ac:dyDescent="0.3">
      <c r="C5" s="133" t="s">
        <v>358</v>
      </c>
      <c r="D5" t="s">
        <v>375</v>
      </c>
      <c r="E5" t="s">
        <v>397</v>
      </c>
      <c r="F5" t="s">
        <v>508</v>
      </c>
      <c r="G5" t="s">
        <v>371</v>
      </c>
      <c r="H5" t="s">
        <v>954</v>
      </c>
      <c r="I5" t="s">
        <v>367</v>
      </c>
      <c r="J5" t="s">
        <v>384</v>
      </c>
      <c r="K5" t="s">
        <v>391</v>
      </c>
      <c r="L5" t="s">
        <v>363</v>
      </c>
      <c r="M5" t="s">
        <v>866</v>
      </c>
    </row>
    <row r="6" spans="2:13" x14ac:dyDescent="0.3">
      <c r="C6" t="s">
        <v>509</v>
      </c>
      <c r="E6">
        <v>15750</v>
      </c>
      <c r="F6">
        <v>49000</v>
      </c>
      <c r="M6">
        <v>32375</v>
      </c>
    </row>
    <row r="7" spans="2:13" x14ac:dyDescent="0.3">
      <c r="C7" t="s">
        <v>519</v>
      </c>
      <c r="G7">
        <v>24500</v>
      </c>
      <c r="K7">
        <v>17500</v>
      </c>
      <c r="M7">
        <v>21000</v>
      </c>
    </row>
    <row r="8" spans="2:13" x14ac:dyDescent="0.3">
      <c r="C8" t="s">
        <v>429</v>
      </c>
      <c r="D8">
        <v>15750</v>
      </c>
      <c r="K8">
        <v>21000</v>
      </c>
      <c r="L8">
        <v>19251</v>
      </c>
      <c r="M8">
        <v>18667</v>
      </c>
    </row>
    <row r="9" spans="2:13" x14ac:dyDescent="0.3">
      <c r="C9" t="s">
        <v>531</v>
      </c>
      <c r="I9">
        <v>19250</v>
      </c>
      <c r="K9">
        <v>17325</v>
      </c>
      <c r="M9">
        <v>18287.5</v>
      </c>
    </row>
    <row r="10" spans="2:13" x14ac:dyDescent="0.3">
      <c r="C10" t="s">
        <v>463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">
      <c r="C11" t="s">
        <v>442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">
      <c r="C12" t="s">
        <v>423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">
      <c r="C13" t="s">
        <v>364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">
      <c r="C14" t="s">
        <v>515</v>
      </c>
      <c r="D14">
        <v>19250</v>
      </c>
      <c r="I14">
        <v>17325</v>
      </c>
      <c r="L14">
        <v>15225</v>
      </c>
      <c r="M14">
        <v>16756.25</v>
      </c>
    </row>
    <row r="15" spans="2:13" x14ac:dyDescent="0.3">
      <c r="C15" t="s">
        <v>385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">
      <c r="C16" t="s">
        <v>398</v>
      </c>
      <c r="E16">
        <v>15750</v>
      </c>
      <c r="I16">
        <v>17325</v>
      </c>
      <c r="M16">
        <v>16537.5</v>
      </c>
    </row>
    <row r="17" spans="3:13" x14ac:dyDescent="0.3">
      <c r="C17" t="s">
        <v>526</v>
      </c>
      <c r="E17">
        <v>17500</v>
      </c>
      <c r="L17">
        <v>14875</v>
      </c>
      <c r="M17">
        <v>16187.5</v>
      </c>
    </row>
    <row r="18" spans="3:13" x14ac:dyDescent="0.3">
      <c r="C18" t="s">
        <v>568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">
      <c r="C19" t="s">
        <v>460</v>
      </c>
      <c r="E19">
        <v>14000</v>
      </c>
      <c r="J19">
        <v>20125</v>
      </c>
      <c r="L19">
        <v>15750</v>
      </c>
      <c r="M19">
        <v>15968.75</v>
      </c>
    </row>
    <row r="20" spans="3:13" x14ac:dyDescent="0.3">
      <c r="C20" t="s">
        <v>372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">
      <c r="C21" t="s">
        <v>573</v>
      </c>
      <c r="E21">
        <v>17500</v>
      </c>
      <c r="K21">
        <v>14000</v>
      </c>
      <c r="M21">
        <v>15750</v>
      </c>
    </row>
    <row r="22" spans="3:13" x14ac:dyDescent="0.3">
      <c r="C22" t="s">
        <v>564</v>
      </c>
      <c r="E22">
        <v>15750</v>
      </c>
      <c r="J22">
        <v>15750</v>
      </c>
      <c r="M22">
        <v>15750</v>
      </c>
    </row>
    <row r="23" spans="3:13" x14ac:dyDescent="0.3">
      <c r="C23" t="s">
        <v>401</v>
      </c>
      <c r="E23">
        <v>15750</v>
      </c>
      <c r="M23">
        <v>15750</v>
      </c>
    </row>
    <row r="24" spans="3:13" x14ac:dyDescent="0.3">
      <c r="C24" t="s">
        <v>436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">
      <c r="C25" t="s">
        <v>561</v>
      </c>
      <c r="I25">
        <v>17325</v>
      </c>
      <c r="J25">
        <v>11725</v>
      </c>
      <c r="M25">
        <v>14525</v>
      </c>
    </row>
    <row r="26" spans="3:13" x14ac:dyDescent="0.3">
      <c r="C26" t="s">
        <v>447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">
      <c r="C27" t="s">
        <v>368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">
      <c r="C28" t="s">
        <v>559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">
      <c r="C29" t="s">
        <v>553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">
      <c r="C30" t="s">
        <v>507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">
      <c r="C31" t="s">
        <v>432</v>
      </c>
      <c r="D31">
        <v>12425</v>
      </c>
      <c r="I31">
        <v>10500</v>
      </c>
      <c r="M31">
        <v>11462.5</v>
      </c>
    </row>
    <row r="32" spans="3:13" x14ac:dyDescent="0.3">
      <c r="C32" t="s">
        <v>378</v>
      </c>
      <c r="I32">
        <v>7875</v>
      </c>
      <c r="J32">
        <v>14175</v>
      </c>
      <c r="M32">
        <v>11025</v>
      </c>
    </row>
    <row r="33" spans="3:13" x14ac:dyDescent="0.3">
      <c r="C33" t="s">
        <v>439</v>
      </c>
      <c r="E33">
        <v>7000</v>
      </c>
      <c r="L33">
        <v>14875</v>
      </c>
      <c r="M33">
        <v>10937.5</v>
      </c>
    </row>
    <row r="34" spans="3:13" x14ac:dyDescent="0.3">
      <c r="C34" t="s">
        <v>512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">
      <c r="C35" t="s">
        <v>548</v>
      </c>
      <c r="G35">
        <v>14875</v>
      </c>
      <c r="I35">
        <v>7875</v>
      </c>
      <c r="J35">
        <v>12425</v>
      </c>
      <c r="M35">
        <v>10762.5</v>
      </c>
    </row>
    <row r="36" spans="3:13" x14ac:dyDescent="0.3">
      <c r="C36" t="s">
        <v>866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101</vt:i4>
      </vt:variant>
      <vt:variant>
        <vt:lpstr>Named Ranges</vt:lpstr>
      </vt:variant>
      <vt:variant>
        <vt:i4>1</vt:i4>
      </vt:variant>
    </vt:vector>
  </HeadingPairs>
  <TitlesOfParts>
    <vt:vector size="102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Sheet3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ASDC16</cp:lastModifiedBy>
  <cp:revision/>
  <dcterms:created xsi:type="dcterms:W3CDTF">2024-10-17T16:19:15Z</dcterms:created>
  <dcterms:modified xsi:type="dcterms:W3CDTF">2026-08-10T05:09:39Z</dcterms:modified>
  <cp:category>IRA Skills</cp:category>
  <cp:contentStatus/>
</cp:coreProperties>
</file>